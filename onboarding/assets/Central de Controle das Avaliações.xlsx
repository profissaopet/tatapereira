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usar" sheetId="1" r:id="rId5"/>
    <sheet state="visible" name="1) Respostas ao formulário" sheetId="2" r:id="rId6"/>
    <sheet state="visible" name="2) Análise Anaminese" sheetId="3" r:id="rId7"/>
    <sheet state="visible" name="3) Ficha Técnica de Avaliação P" sheetId="4" r:id="rId8"/>
    <sheet state="visible" name="4) Registro Geral das Avaliaçõe" sheetId="5" r:id="rId9"/>
    <sheet state="hidden" name="Apoio" sheetId="6" r:id="rId10"/>
  </sheets>
  <definedNames>
    <definedName hidden="1" localSheetId="4" name="_xlnm._FilterDatabase">'4) Registro Geral das Avaliaçõe'!$B$14:$K$143</definedName>
  </definedNames>
  <calcPr/>
</workbook>
</file>

<file path=xl/sharedStrings.xml><?xml version="1.0" encoding="utf-8"?>
<sst xmlns="http://schemas.openxmlformats.org/spreadsheetml/2006/main" count="327" uniqueCount="284">
  <si>
    <t>Como usar a Central de Controle das Avaliações?</t>
  </si>
  <si>
    <r>
      <rPr>
        <rFont val="Arial"/>
        <color theme="1"/>
        <sz val="12.0"/>
      </rPr>
      <t xml:space="preserve">Depois de criar o seu formulário no Google Forms, você terá a opção de enviar as respostas para uma planilha.
Você pode seguir por dois caminhos:
</t>
    </r>
    <r>
      <rPr>
        <rFont val="Arial"/>
        <b/>
        <color theme="1"/>
        <sz val="12.0"/>
      </rPr>
      <t xml:space="preserve">
Opção 1 — Vincular diretamente à Central de Controle das Avaliações</t>
    </r>
    <r>
      <rPr>
        <rFont val="Arial"/>
        <color theme="1"/>
        <sz val="12.0"/>
      </rPr>
      <t xml:space="preserve">
No próprio Google Forms, escolha a opção de selecionar uma planilha existente e vincule o formulário à sua Central de Controle das Avaliações, salva no Google Drive.
</t>
    </r>
    <r>
      <rPr>
        <rFont val="Arial"/>
        <b/>
        <color theme="1"/>
        <sz val="12.0"/>
      </rPr>
      <t>Opção 2 — Criar uma nova planilha de respostas</t>
    </r>
    <r>
      <rPr>
        <rFont val="Arial"/>
        <color theme="1"/>
        <sz val="12.0"/>
      </rPr>
      <t xml:space="preserve">
Você também pode deixar o Google Forms criar uma nova planilha só para receber as respostas dos clientes.
Nesse caso, essa nova planilha funcionará apenas como banco de respostas. Ela não terá a inteligência, as fórmulas e as análises automáticas da Central de Controle.
Por isso, depois que as respostas chegarem nessa nova planilha, </t>
    </r>
    <r>
      <rPr>
        <rFont val="Arial"/>
        <i/>
        <color rgb="FFFF0000"/>
        <sz val="12.0"/>
      </rPr>
      <t>você deverá copiar os dados e colá-los na aba Respostas ao formulário da Central de Controle.</t>
    </r>
    <r>
      <rPr>
        <rFont val="Arial"/>
        <color theme="1"/>
        <sz val="12.0"/>
      </rPr>
      <t xml:space="preserve">
</t>
    </r>
    <r>
      <rPr>
        <rFont val="Arial"/>
        <b/>
        <color theme="1"/>
        <sz val="12.0"/>
      </rPr>
      <t>Copie as informações da coluna B até a coluna CX.</t>
    </r>
    <r>
      <rPr>
        <rFont val="Arial"/>
        <color theme="1"/>
        <sz val="12.0"/>
      </rPr>
      <t xml:space="preserve">
Na Central de Controle, você verá dois exemplos já preenchidos. Você pode:
começar a inserir suas respostas a partir da linha 5; ou
apagar os exemplos e substituir pelos seus próprios dados.
</t>
    </r>
    <r>
      <rPr>
        <rFont val="Arial"/>
        <i/>
        <color rgb="FFFF0000"/>
        <sz val="12.0"/>
      </rPr>
      <t>Atenção à ordem das perguntas</t>
    </r>
    <r>
      <rPr>
        <rFont val="Arial"/>
        <color theme="1"/>
        <sz val="12.0"/>
      </rPr>
      <t xml:space="preserve">
Esse ponto é muito importante:
O seu formulário precisa manter a mesma ordem das perguntas utilizada na Central de Controle.
Isso porque cada resposta está associada a uma coluna específica e, no final da aba Respostas ao formulário, existem fórmulas que fazem automaticamente a soma das pontuações dos drives.
</t>
    </r>
    <r>
      <rPr>
        <rFont val="Arial"/>
        <b/>
        <color theme="1"/>
        <sz val="12.0"/>
      </rPr>
      <t>Essas somas estão entre as colunas CZ e DH.</t>
    </r>
    <r>
      <rPr>
        <rFont val="Arial"/>
        <color theme="1"/>
        <sz val="12.0"/>
      </rPr>
      <t xml:space="preserve">
Se você alterar a ordem das perguntas no Google Forms, a resposta pode cair em uma coluna diferente e a análise automática pode ficar incorreta.
Antes de usar, confira sempre
Garanta que:
as perguntas estão na mesma ordem do modelo;
as respostas foram coladas da coluna B até CX;
cada nova resposta está em uma nova linha;
as fórmulas das colunas CZ até DH continuam presentes;
as pontuações dos drives estão sendo calculadas corretamente.
A lógica é simples:
</t>
    </r>
    <r>
      <rPr>
        <rFont val="Arial"/>
        <b/>
        <i/>
        <color theme="1"/>
        <sz val="12.0"/>
      </rPr>
      <t>Google Forms coleta → Respostas ao formulário recebe → CZ:DH somam os drives → Central de Controle interpreta os dados.</t>
    </r>
  </si>
  <si>
    <r>
      <rPr>
        <rFont val="Arial"/>
        <b/>
        <color theme="1"/>
        <sz val="12.0"/>
      </rPr>
      <t>Atenção à aba “Respostas ao formulário”</t>
    </r>
    <r>
      <rPr>
        <rFont val="Arial"/>
        <color theme="1"/>
        <sz val="12.0"/>
      </rPr>
      <t xml:space="preserve">
</t>
    </r>
    <r>
      <rPr>
        <rFont val="Arial"/>
        <b/>
        <color theme="1"/>
        <sz val="12.0"/>
      </rPr>
      <t>Na coluna A</t>
    </r>
    <r>
      <rPr>
        <rFont val="Arial"/>
        <color theme="1"/>
        <sz val="12.0"/>
      </rPr>
      <t xml:space="preserve">, identificada em amarelo, existe uma fórmula importante para o funcionamento da Central.
</t>
    </r>
    <r>
      <rPr>
        <rFont val="Arial"/>
        <i/>
        <color theme="1"/>
        <sz val="12.0"/>
      </rPr>
      <t>Ela une as informações de nome do cliente + nome do cão, criando a identificação que será utilizada posteriormente como lista suspensa na aba Análise da Anamnese.</t>
    </r>
    <r>
      <rPr>
        <rFont val="Arial"/>
        <color theme="1"/>
        <sz val="12.0"/>
      </rPr>
      <t xml:space="preserve">
Por isso, tenha bastante atenção ao inserir novas respostas.
</t>
    </r>
    <r>
      <rPr>
        <rFont val="Arial"/>
        <color rgb="FFFF0000"/>
        <sz val="12.0"/>
      </rPr>
      <t>Não cole informações sobre a coluna A e não apague suas fórmulas.</t>
    </r>
    <r>
      <rPr>
        <rFont val="Arial"/>
        <color theme="1"/>
        <sz val="12.0"/>
      </rPr>
      <t xml:space="preserve">
Da mesma forma, preserve as fórmulas existentes nas demais áreas da planilha, especialmente aquelas responsáveis pelos cálculos e pela geração automática das análises.
</t>
    </r>
    <r>
      <rPr>
        <rFont val="Arial"/>
        <b/>
        <color theme="1"/>
        <sz val="12.0"/>
      </rPr>
      <t>Regra de ouro</t>
    </r>
    <r>
      <rPr>
        <rFont val="Arial"/>
        <color theme="1"/>
        <sz val="12.0"/>
      </rPr>
      <t xml:space="preserve">
Antes de copiar, colar ou excluir qualquer informação, confira:
Coluna A: mantenha a fórmula de identificação do cliente + cão;
Colunas B até CX: área destinada às respostas do formulário;
Colunas CZ até DH: mantenha as fórmulas responsáveis pelas pontuações dos drives;
ao adicionar novas linhas, confira se as fórmulas também estão presentes naquela linha;
evite excluir, mover ou sobrescrever colunas da Central.
A Central funciona a partir da posição das informações e das fórmulas. Alterar a estrutura pode comprometer as análises automáticas.
</t>
    </r>
    <r>
      <rPr>
        <rFont val="Arial"/>
        <b/>
        <color theme="1"/>
        <sz val="12.0"/>
      </rPr>
      <t>Abas prontas para impressão</t>
    </r>
    <r>
      <rPr>
        <rFont val="Arial"/>
        <color theme="1"/>
        <sz val="12.0"/>
      </rPr>
      <t xml:space="preserve">
As abas Análise da Anamnese e Ficha Técnica de Avaliação Presencial já estão configuradas para impressão.
Se você precisar gerar um PDF, imprimir uma avaliação ou guardar uma cópia física, não é necessário ajustar margens, área de impressão ou configuração da página.
Basta selecionar a aba desejada e imprimir.
CUIDADO:
NÃO MEXA
Coluna A + fórmulas + CZ:DH - Na aba Resposta ao formulário
VOCÊ ALIMENTA
B:CX - Na aba Resposta do formulário
</t>
    </r>
    <r>
      <rPr>
        <rFont val="Arial"/>
        <b/>
        <color theme="1"/>
        <sz val="12.0"/>
      </rPr>
      <t>A CENTRAL ENTREGA</t>
    </r>
    <r>
      <rPr>
        <rFont val="Arial"/>
        <color theme="1"/>
        <sz val="12.0"/>
      </rPr>
      <t xml:space="preserve">
Análise da Anamnese + pontuação dos drives + Ficha Técnica de Avaliação Presencial + Dashboard</t>
    </r>
  </si>
  <si>
    <t>Ficha Técnica de Avaliação Presencial</t>
  </si>
  <si>
    <t>Recomendação Automática</t>
  </si>
  <si>
    <t>Nome do cão</t>
  </si>
  <si>
    <t>Eva</t>
  </si>
  <si>
    <t>Registro Geral das Avaliações</t>
  </si>
  <si>
    <t>Column 103</t>
  </si>
  <si>
    <t>📋 Avaliações realizadas</t>
  </si>
  <si>
    <t>Carimbo de data/hora</t>
  </si>
  <si>
    <t>🟢 Aprovados</t>
  </si>
  <si>
    <t>Nome</t>
  </si>
  <si>
    <t xml:space="preserve">Email </t>
  </si>
  <si>
    <t>Telefone</t>
  </si>
  <si>
    <t>Usuário do Instagram</t>
  </si>
  <si>
    <t>Raça</t>
  </si>
  <si>
    <t>Idade</t>
  </si>
  <si>
    <t>Castrado?</t>
  </si>
  <si>
    <t>Qual o seu maior problema com seu cão hoje?</t>
  </si>
  <si>
    <t>Gosta de farejar o chão ou cheirar coisas?</t>
  </si>
  <si>
    <t>🟡 Aprovados com restrições</t>
  </si>
  <si>
    <t>Responsável</t>
  </si>
  <si>
    <t>Persegue gatos, pássaros etc.?</t>
  </si>
  <si>
    <t>Tata</t>
  </si>
  <si>
    <t>Persegue bicicletas, motos ou skates?</t>
  </si>
  <si>
    <t>Cava com frequência?</t>
  </si>
  <si>
    <t>Procura seguir odores?</t>
  </si>
  <si>
    <t>Já matou e comeu algum animal?</t>
  </si>
  <si>
    <t>🟠 Nova avaliação</t>
  </si>
  <si>
    <t>Chacoalha e "mata" brinquedos?</t>
  </si>
  <si>
    <t>Come muito rápido?</t>
  </si>
  <si>
    <t>Rouba comida ou lixo?</t>
  </si>
  <si>
    <t>Se esfrega em fezes ou odores fortes?</t>
  </si>
  <si>
    <t>🟢 Reprovados</t>
  </si>
  <si>
    <t>Mordisca calcanhares?</t>
  </si>
  <si>
    <t>Encara pessoas ou cães?</t>
  </si>
  <si>
    <t>Transpõe obstáculos?</t>
  </si>
  <si>
    <t>Se agacha observando pessoas ou cães?</t>
  </si>
  <si>
    <t>Movimento de grupos chama atenção?</t>
  </si>
  <si>
    <t>❌ Desistências</t>
  </si>
  <si>
    <t>Brinca perseguindo cães?</t>
  </si>
  <si>
    <t>Fica aflito quando alguém sai?</t>
  </si>
  <si>
    <t>Se inquieta com bicicletas ou crianças?</t>
  </si>
  <si>
    <t>Adora correr?</t>
  </si>
  <si>
    <t>Parece atento aos seus movimentos?</t>
  </si>
  <si>
    <t>🟢Entrou</t>
  </si>
  <si>
    <t>Já matou algum cão ou aparenta querer matar?</t>
  </si>
  <si>
    <t>Data</t>
  </si>
  <si>
    <t>Já matou e despedaçou algum cão?</t>
  </si>
  <si>
    <t>Possui ímpeto de brigar?</t>
  </si>
  <si>
    <t>Puxa a guia quando vê outro cão?</t>
  </si>
  <si>
    <t>🟠Não Entrou</t>
  </si>
  <si>
    <t>Interage de forma agressiva com outros cães?</t>
  </si>
  <si>
    <t>Resiste em largar objetos?</t>
  </si>
  <si>
    <t>Chacoalha brinquedos de forma irritada?</t>
  </si>
  <si>
    <t>Mastiga objetos com muita força?</t>
  </si>
  <si>
    <t>Ataca outros cães sem sinais?</t>
  </si>
  <si>
    <t>Perseguiria cães para brigar?</t>
  </si>
  <si>
    <t>Late para pessoas no portão?</t>
  </si>
  <si>
    <t>Fica nervoso com movimentos externos?</t>
  </si>
  <si>
    <t>Vigia portas ou janelas?</t>
  </si>
  <si>
    <t>Age de forma agressiva no portão?</t>
  </si>
  <si>
    <t>Precisa ser isolado para receber visitas?</t>
  </si>
  <si>
    <t>Fica nervoso com convidados?</t>
  </si>
  <si>
    <t>Late para convidados andando pela casa?</t>
  </si>
  <si>
    <t>Avaliador</t>
  </si>
  <si>
    <t>Tata Pereira</t>
  </si>
  <si>
    <t>Late no carro para pessoas?</t>
  </si>
  <si>
    <t>Fica nervoso com campainha?</t>
  </si>
  <si>
    <t>Tempo da avaliação</t>
  </si>
  <si>
    <t>3h30</t>
  </si>
  <si>
    <t>Se importa com barulhos externos?</t>
  </si>
  <si>
    <t>Gosta de carregar objetos?</t>
  </si>
  <si>
    <t>Gosta de brinquedos em movimento?</t>
  </si>
  <si>
    <t>Traz brinquedos para brincar?</t>
  </si>
  <si>
    <t>Traz brinquedos para jogar?</t>
  </si>
  <si>
    <t xml:space="preserve">Legenda </t>
  </si>
  <si>
    <t>Fica muito empolgado para brincar?</t>
  </si>
  <si>
    <t>Corre atrás de pessoas por diversão?</t>
  </si>
  <si>
    <t>Cão</t>
  </si>
  <si>
    <t>Resultado do avaliador</t>
  </si>
  <si>
    <t>Plano recomendado</t>
  </si>
  <si>
    <t>Frequência</t>
  </si>
  <si>
    <t>Corre desenfreadamente pela casa?</t>
  </si>
  <si>
    <t>Entrou?</t>
  </si>
  <si>
    <t>Qual foi a recomendação automática</t>
  </si>
  <si>
    <t>Observações</t>
  </si>
  <si>
    <t>Procura brinquedos?</t>
  </si>
  <si>
    <t>1 = Muito ruim | 2 = Ruim | 3 = Regular | 4 = Bom | 5 = Ótimo</t>
  </si>
  <si>
    <t>Convida outros cães para brincar?</t>
  </si>
  <si>
    <t>Qualquer objeto vira brinquedo?</t>
  </si>
  <si>
    <t>Passa tranquilamente por cães?</t>
  </si>
  <si>
    <t>Segue você pela casa?</t>
  </si>
  <si>
    <t>Aprovado</t>
  </si>
  <si>
    <t>Trimestral</t>
  </si>
  <si>
    <t>Permanece amigável com cães?</t>
  </si>
  <si>
    <t>Recepção e Entrada</t>
  </si>
  <si>
    <t>1x na semana</t>
  </si>
  <si>
    <t>Sim</t>
  </si>
  <si>
    <t xml:space="preserve"> APROVADO</t>
  </si>
  <si>
    <t>Permanece amigável com pessoas?</t>
  </si>
  <si>
    <t>Cão tem medo mas sem agressão e demostrou uma boa recuperação emocial.</t>
  </si>
  <si>
    <t>Pede carinho?</t>
  </si>
  <si>
    <t>Relaxa ao ser penteado?</t>
  </si>
  <si>
    <t>Vem quando chamado?</t>
  </si>
  <si>
    <t>Brinca com pessoas desconhecidas?</t>
  </si>
  <si>
    <t>Brinca com cães desconhecidos?</t>
  </si>
  <si>
    <t>Permite retirar objetos da boca?</t>
  </si>
  <si>
    <t>Separação do responsável</t>
  </si>
  <si>
    <t>Investe contra portões com cães?</t>
  </si>
  <si>
    <t>Quando inseguro, rosna ou morde?</t>
  </si>
  <si>
    <t>Fica tenso com pessoas?</t>
  </si>
  <si>
    <t>Ela se sentiu desconfrotavel ao entrar mas depois que entrou ficou traquila no ambiente</t>
  </si>
  <si>
    <t>Fica tenso com cães?</t>
  </si>
  <si>
    <t>Rosna quando manipulado?</t>
  </si>
  <si>
    <t>Entrada na empresa</t>
  </si>
  <si>
    <t>Rosna ao ser penteado?</t>
  </si>
  <si>
    <t>Parece proteger você?</t>
  </si>
  <si>
    <t>Estado emocional inicial</t>
  </si>
  <si>
    <t>Rosna para estranhos?</t>
  </si>
  <si>
    <t>Briga com cães desconhecidos?</t>
  </si>
  <si>
    <t>Interesse pelo ambiente</t>
  </si>
  <si>
    <t>Faz posse de brinquedos ou comida?</t>
  </si>
  <si>
    <t>Vocalização</t>
  </si>
  <si>
    <t>Tenta se afastar de portões com cães?</t>
  </si>
  <si>
    <t>Quando inseguro, foge ou grita?</t>
  </si>
  <si>
    <t>Evita cães?</t>
  </si>
  <si>
    <t>Evita pessoas?</t>
  </si>
  <si>
    <t>Manipulação</t>
  </si>
  <si>
    <t>Tenta fugir quando manipulado?</t>
  </si>
  <si>
    <t>Tenta fugir ao ser penteado?</t>
  </si>
  <si>
    <t>Persegue você como se fosse abandoná-lo?</t>
  </si>
  <si>
    <t>Tenta fugir de estranhos?</t>
  </si>
  <si>
    <t>Evita cães desconhecidos?</t>
  </si>
  <si>
    <t>Situações novas o deixam inquieto?</t>
  </si>
  <si>
    <t>Toque corporal</t>
  </si>
  <si>
    <t>Ela trava ao ser anipulada mas não abre agressão</t>
  </si>
  <si>
    <t>Diminui o ritmo ao passar por cães?</t>
  </si>
  <si>
    <t>Quando inseguro fica imóvel?</t>
  </si>
  <si>
    <t>Fica imóvel diante de cães?</t>
  </si>
  <si>
    <t>Patas</t>
  </si>
  <si>
    <t>Fica imóvel diante de pessoas?</t>
  </si>
  <si>
    <t>Fica imóvel quando manipulado?</t>
  </si>
  <si>
    <t>Orelhas</t>
  </si>
  <si>
    <t>Fica imóvel ao ser penteado?</t>
  </si>
  <si>
    <t>Fica travado quando se assusta?</t>
  </si>
  <si>
    <t>Boca</t>
  </si>
  <si>
    <t>Se agacha e fica imóvel diante de estranhos?</t>
  </si>
  <si>
    <t>Fica tenso diante de cães desconhecidos?</t>
  </si>
  <si>
    <t>Colocação/retirada da guia</t>
  </si>
  <si>
    <t>Fica muito quieto como se estivesse incomodado?</t>
  </si>
  <si>
    <t>Porque você acredita que a escola de cães pode te ajudar na educação do seu cão?</t>
  </si>
  <si>
    <t>Passeio e Condução</t>
  </si>
  <si>
    <t>CAÇA</t>
  </si>
  <si>
    <t>PASTOREIO</t>
  </si>
  <si>
    <t>PREDAÇÃO</t>
  </si>
  <si>
    <t>TERRITORIALISMO</t>
  </si>
  <si>
    <t>BRINCADEIRA</t>
  </si>
  <si>
    <t>MATILHA</t>
  </si>
  <si>
    <t>LUTA</t>
  </si>
  <si>
    <t>FUGA</t>
  </si>
  <si>
    <t>CONGELAMENTO</t>
  </si>
  <si>
    <t>Caminhada</t>
  </si>
  <si>
    <t>Não gosta de fazer passeio com guia, mas aceitou depois de insistir.</t>
  </si>
  <si>
    <t>Exemplo_Desafio</t>
  </si>
  <si>
    <t>Atenção ao condutor</t>
  </si>
  <si>
    <t>Reação aos estímulos</t>
  </si>
  <si>
    <t>Confidencial</t>
  </si>
  <si>
    <t>Recuperação emocional</t>
  </si>
  <si>
    <t>Srd</t>
  </si>
  <si>
    <t>4 anos</t>
  </si>
  <si>
    <t>Castrado</t>
  </si>
  <si>
    <t>Interação Social</t>
  </si>
  <si>
    <t xml:space="preserve">Medo de pessoas e não gosta de passear </t>
  </si>
  <si>
    <t>Pesquisar:</t>
  </si>
  <si>
    <t>Interação com pessoas</t>
  </si>
  <si>
    <t>Não gosta de ficar proximo de pessoas, mas não apresenta nenhum ameça de ataque</t>
  </si>
  <si>
    <t>Interação com outros cães</t>
  </si>
  <si>
    <t>Exemplo_Desafio2|Gaya</t>
  </si>
  <si>
    <t>Não</t>
  </si>
  <si>
    <t>Convite para brincar</t>
  </si>
  <si>
    <t>Aviso: nesta etapa da análise, basta pesquisar o nome do cão que você deseja analisar.</t>
  </si>
  <si>
    <t>Comunicação corporal</t>
  </si>
  <si>
    <t>Respeito aos sinais sociais</t>
  </si>
  <si>
    <t>Adaptação à Rotina</t>
  </si>
  <si>
    <t xml:space="preserve">ANÁLISE COMPORTAMENTAL DO CÃO </t>
  </si>
  <si>
    <t>Explorou o ambiente</t>
  </si>
  <si>
    <t>Ficou bem durante a rotina, mas não fez cocô</t>
  </si>
  <si>
    <t>Bebeu água</t>
  </si>
  <si>
    <t>Aceitou alimento</t>
  </si>
  <si>
    <t>Fez xixi</t>
  </si>
  <si>
    <t>Fez cocô</t>
  </si>
  <si>
    <t>Conseguiu descansar</t>
  </si>
  <si>
    <t>DRIVES</t>
  </si>
  <si>
    <t>Recuperou-se emocionalmente</t>
  </si>
  <si>
    <t>PONTUAÇÃO</t>
  </si>
  <si>
    <t>Comparação com a Anamnese</t>
  </si>
  <si>
    <t>Observação Geral</t>
  </si>
  <si>
    <t>O comportamento confirmou a anamnese?</t>
  </si>
  <si>
    <t xml:space="preserve">ela é bem medrosa, não gosta de usar coleira, aceitou bem petisco, fez as atividades, não vocalizou, dormiu na caixa, não gosta muito de aproximação de pessoas mas não ataca. </t>
  </si>
  <si>
    <t>O que mais chamou sua atenção?</t>
  </si>
  <si>
    <t xml:space="preserve">apensa de ser medrosa com pessoas não agredi e se da bem com cães. </t>
  </si>
  <si>
    <t>Quais comportamentos passariam despercebidos?</t>
  </si>
  <si>
    <t>nenhum</t>
  </si>
  <si>
    <t>O que será levado em consideração na tomada de decisão?</t>
  </si>
  <si>
    <t>CLASSIFICAÇÃO</t>
  </si>
  <si>
    <t>Socialização e sociablização</t>
  </si>
  <si>
    <t>Recomendação do Avaliador</t>
  </si>
  <si>
    <t>A recomendação automática não substitui a avaliação técnica do profissional. A decisão final é de responsabilidade do avaliador.</t>
  </si>
  <si>
    <t xml:space="preserve">ANÁLISE COMPORTAMENTAL COMPLETA </t>
  </si>
  <si>
    <t xml:space="preserve">Quero que ela se relacione com outros cães e outras pessoas diferentes das quais ela já conhece. </t>
  </si>
  <si>
    <t>PERFIL PREDOMINANTE</t>
  </si>
  <si>
    <t>DRIVE PREDOMINANTE:</t>
  </si>
  <si>
    <t>Exemplo_Desafio2</t>
  </si>
  <si>
    <t>Gaya</t>
  </si>
  <si>
    <t>Pitbull</t>
  </si>
  <si>
    <t>9 anos</t>
  </si>
  <si>
    <t>Finge de surda e só faz o que quer</t>
  </si>
  <si>
    <t>PERFIL SECUNDÁRIO</t>
  </si>
  <si>
    <t>PERCEPÇÃO GERAL RESUMIDA</t>
  </si>
  <si>
    <t>porque eu sozinha não consigo</t>
  </si>
  <si>
    <t>PONTOS DE ATENÇÃO</t>
  </si>
  <si>
    <t>Esta análise é baseada nas respostas do responsável e não substitui a avaliação prática do cão.</t>
  </si>
  <si>
    <t>Lúdico e social: 67 + 58 = 125</t>
  </si>
  <si>
    <t>Perfil analisado</t>
  </si>
  <si>
    <t>Cálculo</t>
  </si>
  <si>
    <t>A</t>
  </si>
  <si>
    <t>B</t>
  </si>
  <si>
    <t>C</t>
  </si>
  <si>
    <t>Inseguro e sensível: 55 + 67 = 122</t>
  </si>
  <si>
    <t>Lúdico e social</t>
  </si>
  <si>
    <t>Brincadeira + Matilha</t>
  </si>
  <si>
    <t>Drive</t>
  </si>
  <si>
    <t>Pontuação</t>
  </si>
  <si>
    <t>Classificação</t>
  </si>
  <si>
    <t>Predatório e perseguidor: 31 + 6 = 37</t>
  </si>
  <si>
    <t>Inseguro e sensível</t>
  </si>
  <si>
    <t>Fuga + Congelamento</t>
  </si>
  <si>
    <t>Caça</t>
  </si>
  <si>
    <t>Baixo</t>
  </si>
  <si>
    <t>Territorial e confrontador: 35 + 7 = 42</t>
  </si>
  <si>
    <t>Predatório e perseguidor</t>
  </si>
  <si>
    <t>Caça + Predação</t>
  </si>
  <si>
    <t>Pastoreio</t>
  </si>
  <si>
    <t>Controlador de movimento: 34 × 2 = 68</t>
  </si>
  <si>
    <t>Territorial e confrontador</t>
  </si>
  <si>
    <t>Territorialismo + Luta</t>
  </si>
  <si>
    <t>Predação</t>
  </si>
  <si>
    <t>Muito baixo</t>
  </si>
  <si>
    <t>Controlador de movimento</t>
  </si>
  <si>
    <t>Territorialismo</t>
  </si>
  <si>
    <t>Brincadeira</t>
  </si>
  <si>
    <t>Alto</t>
  </si>
  <si>
    <t>Média</t>
  </si>
  <si>
    <t>Estrelas</t>
  </si>
  <si>
    <t>Interpretação</t>
  </si>
  <si>
    <t>Significado</t>
  </si>
  <si>
    <t>Nota</t>
  </si>
  <si>
    <t>Ordem de prioridade da decisão</t>
  </si>
  <si>
    <t>★★★★☆</t>
  </si>
  <si>
    <t>Excelente</t>
  </si>
  <si>
    <t>Não demonstrou / comportamento inadequado para o critério avaliado.</t>
  </si>
  <si>
    <t>Risco → Reprovação</t>
  </si>
  <si>
    <t>★★★☆☆</t>
  </si>
  <si>
    <t>Boa</t>
  </si>
  <si>
    <t>Demonstrou de forma muito limitada ou com grande dificuldade.</t>
  </si>
  <si>
    <t>Manipulação (C16) &lt; 2.</t>
  </si>
  <si>
    <t>Atenção</t>
  </si>
  <si>
    <t>Demonstrou parcialmente, com algumas ressalvas.</t>
  </si>
  <si>
    <t>Interação com pessoas (C30) ≤ 2.</t>
  </si>
  <si>
    <t>★★☆☆☆</t>
  </si>
  <si>
    <t>Crítica</t>
  </si>
  <si>
    <t>Demonstrou de forma satisfatória durante a maior parte da avaliação.</t>
  </si>
  <si>
    <t>Interação com cães (C31) ≤ 2.</t>
  </si>
  <si>
    <t>Demonstrou de forma consistente, adequada e segura durante toda a avaliação</t>
  </si>
  <si>
    <t>Adaptação → Nova avaliação</t>
  </si>
  <si>
    <t>Adaptação ao ambiente (C36) &lt; 2.</t>
  </si>
  <si>
    <t>Ressalvas → Aprovado com restrições</t>
  </si>
  <si>
    <t>Manipulação entre 2 e 2,99.</t>
  </si>
  <si>
    <t>Adaptação entre 2 e 2,99.</t>
  </si>
  <si>
    <t>Média geral entre 3 e 3,99.</t>
  </si>
  <si>
    <t>Média geral ≥ 4.</t>
  </si>
  <si>
    <t>Nenhum fator crítico.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</si>
</sst>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d/mm/yyyy"/>
    <numFmt numFmtId="166" formatCode="m/d/yyyy h:mm:ss"/>
  </numFmts>
  <fonts count="31">
    <font>
      <sz val="10.0"/>
      <color rgb="FF000000"/>
      <name val="Arial"/>
      <scheme val="minor"/>
    </font>
    <font>
      <b/>
      <sz val="24.0"/>
      <color rgb="FFF1C232"/>
      <name val="Comfortaa"/>
    </font>
    <font/>
    <font>
      <color theme="1"/>
      <name val="Arial"/>
      <scheme val="minor"/>
    </font>
    <font>
      <sz val="12.0"/>
      <color theme="1"/>
      <name val="Arial"/>
      <scheme val="minor"/>
    </font>
    <font>
      <sz val="12.0"/>
      <color theme="1"/>
      <name val="Comfortaa"/>
    </font>
    <font>
      <b/>
      <color theme="1"/>
      <name val="Comfortaa"/>
    </font>
    <font>
      <b/>
      <sz val="12.0"/>
      <color rgb="FFF1C232"/>
      <name val="Comfortaa"/>
    </font>
    <font>
      <b/>
      <sz val="12.0"/>
      <color rgb="FF0C343D"/>
      <name val="Comfortaa"/>
    </font>
    <font>
      <color theme="1"/>
      <name val="Comfortaa"/>
    </font>
    <font>
      <b/>
      <i/>
      <sz val="12.0"/>
      <color rgb="FFF1C232"/>
      <name val="Comfortaa"/>
    </font>
    <font>
      <sz val="10.0"/>
      <color rgb="FF000000"/>
      <name val="Comfortaa"/>
    </font>
    <font>
      <b/>
      <sz val="12.0"/>
      <color rgb="FFFFD966"/>
      <name val="Comfortaa"/>
    </font>
    <font>
      <b/>
      <sz val="13.0"/>
      <color theme="1"/>
      <name val="Comfortaa"/>
    </font>
    <font>
      <sz val="12.0"/>
      <color rgb="FFFFFFFF"/>
      <name val="Comfortaa"/>
    </font>
    <font>
      <i/>
      <sz val="10.0"/>
      <color theme="1"/>
      <name val="Arial"/>
      <scheme val="minor"/>
    </font>
    <font>
      <b/>
      <sz val="20.0"/>
      <color theme="1"/>
      <name val="Comfortaa"/>
    </font>
    <font>
      <sz val="12.0"/>
      <color rgb="FF000000"/>
      <name val="Comfortaa"/>
    </font>
    <font>
      <b/>
      <sz val="12.0"/>
      <color rgb="FF20124D"/>
      <name val="Comfortaa"/>
    </font>
    <font>
      <b/>
      <sz val="12.0"/>
      <color theme="1"/>
      <name val="Comfortaa"/>
    </font>
    <font>
      <i/>
      <sz val="12.0"/>
      <color rgb="FF1155CC"/>
      <name val="Comfortaa"/>
    </font>
    <font>
      <b/>
      <sz val="12.0"/>
      <color rgb="FF000000"/>
      <name val="Comfortaa"/>
    </font>
    <font>
      <b/>
      <color rgb="FFFFD966"/>
      <name val="Comfortaa"/>
    </font>
    <font>
      <sz val="11.0"/>
      <color theme="1"/>
      <name val="Comfortaa"/>
    </font>
    <font>
      <i/>
      <sz val="10.0"/>
      <color rgb="FF1155CC"/>
      <name val="Comfortaa"/>
    </font>
    <font>
      <i/>
      <color theme="1"/>
      <name val="Comfortaa"/>
    </font>
    <font>
      <b/>
      <sz val="12.0"/>
      <color rgb="FFFF0000"/>
      <name val="Comfortaa"/>
    </font>
    <font>
      <b/>
      <sz val="11.0"/>
      <color rgb="FFFFD966"/>
      <name val="Comfortaa"/>
    </font>
    <font>
      <color rgb="FF434343"/>
      <name val="Comfortaa"/>
    </font>
    <font>
      <sz val="10.0"/>
      <color theme="1"/>
      <name val="Arial"/>
    </font>
    <font>
      <b/>
      <sz val="10.0"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0C343D"/>
        <bgColor rgb="FF0C343D"/>
      </patternFill>
    </fill>
    <fill>
      <patternFill patternType="solid">
        <fgColor theme="4"/>
        <bgColor theme="4"/>
      </patternFill>
    </fill>
    <fill>
      <patternFill patternType="solid">
        <fgColor rgb="FFFF00FF"/>
        <bgColor rgb="FFFF00FF"/>
      </patternFill>
    </fill>
    <fill>
      <patternFill patternType="solid">
        <fgColor rgb="FFCC4125"/>
        <bgColor rgb="FFCC4125"/>
      </patternFill>
    </fill>
    <fill>
      <patternFill patternType="solid">
        <fgColor theme="7"/>
        <bgColor theme="7"/>
      </patternFill>
    </fill>
    <fill>
      <patternFill patternType="solid">
        <fgColor rgb="FF7F6000"/>
        <bgColor rgb="FF7F6000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theme="8"/>
        <bgColor theme="8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F8F9FA"/>
        <bgColor rgb="FFF8F9FA"/>
      </patternFill>
    </fill>
  </fills>
  <borders count="2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0" fillId="3" fontId="3" numFmtId="0" xfId="0" applyFill="1" applyFont="1"/>
    <xf borderId="0" fillId="3" fontId="4" numFmtId="0" xfId="0" applyAlignment="1" applyFill="1" applyFont="1">
      <alignment readingOrder="0" shrinkToFit="0" wrapText="1"/>
    </xf>
    <xf borderId="9" fillId="3" fontId="4" numFmtId="0" xfId="0" applyAlignment="1" applyBorder="1" applyFill="1" applyFont="1">
      <alignment readingOrder="0" shrinkToFit="0" vertical="top" wrapText="1"/>
    </xf>
    <xf borderId="10" fillId="0" fontId="2" numFmtId="0" xfId="0" applyBorder="1" applyFont="1"/>
    <xf borderId="11" fillId="0" fontId="2" numFmtId="0" xfId="0" applyBorder="1" applyFont="1"/>
    <xf borderId="0" fillId="0" fontId="5" numFmtId="0" xfId="0" applyFont="1"/>
    <xf borderId="9" fillId="3" fontId="4" numFmtId="0" xfId="0" applyAlignment="1" applyBorder="1" applyFill="1" applyFont="1">
      <alignment readingOrder="0" vertical="top"/>
    </xf>
    <xf borderId="0" fillId="0" fontId="5" numFmtId="0" xfId="0" applyAlignment="1" applyFont="1">
      <alignment horizontal="left"/>
    </xf>
    <xf borderId="0" fillId="3" fontId="5" numFmtId="0" xfId="0" applyFill="1" applyFont="1"/>
    <xf borderId="0" fillId="3" fontId="6" numFmtId="0" xfId="0" applyAlignment="1" applyFill="1" applyFont="1">
      <alignment horizontal="center" readingOrder="0" shrinkToFit="0" vertical="center" wrapText="1"/>
    </xf>
    <xf borderId="9" fillId="4" fontId="7" numFmtId="0" xfId="0" applyAlignment="1" applyBorder="1" applyFill="1" applyFont="1">
      <alignment readingOrder="0" shrinkToFit="0" vertical="bottom" wrapText="0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Font="1"/>
    <xf borderId="0" fillId="3" fontId="10" numFmtId="0" xfId="0" applyAlignment="1" applyFill="1" applyFont="1">
      <alignment readingOrder="0" shrinkToFit="0" vertical="bottom" wrapText="0"/>
    </xf>
    <xf borderId="12" fillId="0" fontId="11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shrinkToFit="0" wrapText="1"/>
    </xf>
    <xf borderId="12" fillId="0" fontId="11" numFmtId="0" xfId="0" applyAlignment="1" applyBorder="1" applyFont="1">
      <alignment horizontal="left" readingOrder="0" shrinkToFit="0" vertical="bottom" wrapText="0"/>
    </xf>
    <xf borderId="1" fillId="2" fontId="12" numFmtId="0" xfId="0" applyAlignment="1" applyBorder="1" applyFill="1" applyFont="1">
      <alignment readingOrder="0" vertical="center"/>
    </xf>
    <xf borderId="0" fillId="0" fontId="6" numFmtId="0" xfId="0" applyFont="1"/>
    <xf borderId="0" fillId="0" fontId="9" numFmtId="0" xfId="0" applyAlignment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vertical="center"/>
    </xf>
    <xf borderId="13" fillId="0" fontId="6" numFmtId="0" xfId="0" applyAlignment="1" applyBorder="1" applyFont="1">
      <alignment readingOrder="0"/>
    </xf>
    <xf borderId="14" fillId="0" fontId="6" numFmtId="0" xfId="0" applyAlignment="1" applyBorder="1" applyFont="1">
      <alignment horizontal="center"/>
    </xf>
    <xf borderId="15" fillId="0" fontId="6" numFmtId="10" xfId="0" applyAlignment="1" applyBorder="1" applyFont="1" applyNumberFormat="1">
      <alignment horizontal="center" readingOrder="0"/>
    </xf>
    <xf borderId="4" fillId="0" fontId="14" numFmtId="0" xfId="0" applyBorder="1" applyFont="1"/>
    <xf borderId="5" fillId="0" fontId="5" numFmtId="0" xfId="0" applyBorder="1" applyFont="1"/>
    <xf borderId="0" fillId="3" fontId="15" numFmtId="0" xfId="0" applyAlignment="1" applyFill="1" applyFont="1">
      <alignment readingOrder="0"/>
    </xf>
    <xf borderId="0" fillId="5" fontId="9" numFmtId="0" xfId="0" applyAlignment="1" applyFill="1" applyFont="1">
      <alignment horizontal="center" readingOrder="0" shrinkToFit="0" vertical="center" wrapText="0"/>
    </xf>
    <xf borderId="16" fillId="0" fontId="6" numFmtId="0" xfId="0" applyAlignment="1" applyBorder="1" applyFont="1">
      <alignment readingOrder="0"/>
    </xf>
    <xf borderId="12" fillId="0" fontId="6" numFmtId="0" xfId="0" applyAlignment="1" applyBorder="1" applyFont="1">
      <alignment horizontal="center"/>
    </xf>
    <xf borderId="17" fillId="0" fontId="6" numFmtId="10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vertical="center"/>
    </xf>
    <xf borderId="18" fillId="0" fontId="6" numFmtId="0" xfId="0" applyAlignment="1" applyBorder="1" applyFont="1">
      <alignment readingOrder="0"/>
    </xf>
    <xf borderId="0" fillId="6" fontId="9" numFmtId="0" xfId="0" applyAlignment="1" applyFill="1" applyFont="1">
      <alignment horizontal="center" readingOrder="0" shrinkToFit="0" vertical="center" wrapText="0"/>
    </xf>
    <xf borderId="19" fillId="0" fontId="6" numFmtId="0" xfId="0" applyAlignment="1" applyBorder="1" applyFont="1">
      <alignment horizontal="center"/>
    </xf>
    <xf borderId="20" fillId="0" fontId="6" numFmtId="10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vertical="center"/>
    </xf>
    <xf borderId="0" fillId="7" fontId="9" numFmtId="0" xfId="0" applyAlignment="1" applyFill="1" applyFont="1">
      <alignment horizontal="center" readingOrder="0" shrinkToFit="0" vertical="center" wrapText="0"/>
    </xf>
    <xf borderId="12" fillId="0" fontId="11" numFmtId="164" xfId="0" applyAlignment="1" applyBorder="1" applyFont="1" applyNumberFormat="1">
      <alignment horizontal="left" readingOrder="0" shrinkToFit="0" vertical="bottom" wrapText="0"/>
    </xf>
    <xf borderId="0" fillId="8" fontId="9" numFmtId="0" xfId="0" applyAlignment="1" applyFill="1" applyFont="1">
      <alignment horizontal="center" readingOrder="0" shrinkToFit="0" vertical="center" wrapText="0"/>
    </xf>
    <xf borderId="0" fillId="3" fontId="15" numFmtId="0" xfId="0" applyAlignment="1" applyFill="1" applyFont="1">
      <alignment readingOrder="0" shrinkToFit="0" vertical="center" wrapText="1"/>
    </xf>
    <xf borderId="0" fillId="3" fontId="12" numFmtId="0" xfId="0" applyAlignment="1" applyFill="1" applyFont="1">
      <alignment horizontal="center" shrinkToFit="0" vertical="center" wrapText="1"/>
    </xf>
    <xf borderId="0" fillId="3" fontId="12" numFmtId="0" xfId="0" applyAlignment="1" applyFill="1" applyFont="1">
      <alignment horizontal="center" readingOrder="0" shrinkToFit="0" vertical="center" wrapText="1"/>
    </xf>
    <xf borderId="0" fillId="0" fontId="17" numFmtId="0" xfId="0" applyAlignment="1" applyFont="1">
      <alignment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9" fontId="9" numFmtId="0" xfId="0" applyAlignment="1" applyFill="1" applyFont="1">
      <alignment horizontal="center" readingOrder="0" shrinkToFit="0" vertical="center" wrapText="0"/>
    </xf>
    <xf borderId="7" fillId="3" fontId="12" numFmtId="0" xfId="0" applyAlignment="1" applyBorder="1" applyFill="1" applyFont="1">
      <alignment horizontal="center" readingOrder="0" shrinkToFit="0" vertical="center" wrapText="1"/>
    </xf>
    <xf borderId="9" fillId="2" fontId="12" numFmtId="0" xfId="0" applyAlignment="1" applyBorder="1" applyFill="1" applyFont="1">
      <alignment horizontal="center" readingOrder="0" shrinkToFit="0" vertical="center" wrapText="1"/>
    </xf>
    <xf borderId="9" fillId="10" fontId="18" numFmtId="0" xfId="0" applyAlignment="1" applyBorder="1" applyFill="1" applyFont="1">
      <alignment horizontal="center" readingOrder="0" shrinkToFit="0" vertical="bottom" wrapText="0"/>
    </xf>
    <xf borderId="10" fillId="2" fontId="12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9" fillId="0" fontId="3" numFmtId="0" xfId="0" applyAlignment="1" applyBorder="1" applyFont="1">
      <alignment horizontal="center" readingOrder="0"/>
    </xf>
    <xf borderId="0" fillId="3" fontId="7" numFmtId="0" xfId="0" applyAlignment="1" applyFill="1" applyFont="1">
      <alignment readingOrder="0" shrinkToFit="0" vertical="bottom" wrapText="0"/>
    </xf>
    <xf borderId="0" fillId="11" fontId="9" numFmtId="165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bottom" wrapText="0"/>
    </xf>
    <xf borderId="0" fillId="12" fontId="9" numFmtId="0" xfId="0" applyAlignment="1" applyFill="1" applyFont="1">
      <alignment horizontal="center" readingOrder="0" shrinkToFit="0" vertical="center" wrapText="0"/>
    </xf>
    <xf borderId="0" fillId="11" fontId="9" numFmtId="0" xfId="0" applyAlignment="1" applyFill="1" applyFont="1">
      <alignment horizontal="center" readingOrder="0" vertical="center"/>
    </xf>
    <xf borderId="0" fillId="3" fontId="19" numFmtId="0" xfId="0" applyAlignment="1" applyFill="1" applyFont="1">
      <alignment readingOrder="0" vertical="center"/>
    </xf>
    <xf borderId="0" fillId="11" fontId="9" numFmtId="0" xfId="0" applyAlignment="1" applyFill="1" applyFont="1">
      <alignment horizontal="center" readingOrder="0" shrinkToFit="0" vertical="center" wrapText="1"/>
    </xf>
    <xf borderId="0" fillId="0" fontId="9" numFmtId="0" xfId="0" applyAlignment="1" applyFont="1">
      <alignment vertical="center"/>
    </xf>
    <xf borderId="0" fillId="3" fontId="9" numFmtId="165" xfId="0" applyAlignment="1" applyFill="1" applyFont="1" applyNumberFormat="1">
      <alignment horizontal="center" readingOrder="0" shrinkToFit="0" vertical="center" wrapText="1"/>
    </xf>
    <xf borderId="0" fillId="3" fontId="9" numFmtId="0" xfId="0" applyAlignment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shrinkToFit="0" vertical="center" wrapText="1"/>
    </xf>
    <xf borderId="11" fillId="4" fontId="7" numFmtId="0" xfId="0" applyAlignment="1" applyBorder="1" applyFill="1" applyFont="1">
      <alignment horizontal="center" readingOrder="0" shrinkToFit="0" vertical="bottom" wrapText="0"/>
    </xf>
    <xf borderId="9" fillId="0" fontId="19" numFmtId="0" xfId="0" applyAlignment="1" applyBorder="1" applyFont="1">
      <alignment readingOrder="0" vertical="center"/>
    </xf>
    <xf borderId="0" fillId="13" fontId="9" numFmtId="0" xfId="0" applyAlignment="1" applyFill="1" applyFont="1">
      <alignment horizontal="center" readingOrder="0" shrinkToFit="0" vertical="center" wrapText="0"/>
    </xf>
    <xf borderId="0" fillId="3" fontId="9" numFmtId="0" xfId="0" applyAlignment="1" applyFill="1" applyFont="1">
      <alignment horizontal="center" shrinkToFit="0" vertical="center" wrapText="1"/>
    </xf>
    <xf borderId="0" fillId="3" fontId="9" numFmtId="0" xfId="0" applyAlignment="1" applyFill="1" applyFont="1">
      <alignment horizontal="center" vertical="center"/>
    </xf>
    <xf borderId="1" fillId="0" fontId="20" numFmtId="0" xfId="0" applyAlignment="1" applyBorder="1" applyFont="1">
      <alignment readingOrder="0" shrinkToFit="0" vertical="center" wrapText="1"/>
    </xf>
    <xf borderId="0" fillId="11" fontId="9" numFmtId="0" xfId="0" applyAlignment="1" applyFill="1" applyFont="1">
      <alignment horizontal="center" shrinkToFit="0" vertical="center" wrapText="1"/>
    </xf>
    <xf borderId="0" fillId="11" fontId="9" numFmtId="0" xfId="0" applyAlignment="1" applyFill="1" applyFont="1">
      <alignment horizontal="center" vertical="center"/>
    </xf>
    <xf borderId="0" fillId="14" fontId="9" numFmtId="0" xfId="0" applyAlignment="1" applyFill="1" applyFont="1">
      <alignment horizontal="center" readingOrder="0" shrinkToFit="0" vertical="center" wrapText="0"/>
    </xf>
    <xf borderId="0" fillId="10" fontId="9" numFmtId="0" xfId="0" applyAlignment="1" applyFill="1" applyFont="1">
      <alignment horizontal="center" readingOrder="0" shrinkToFit="0" vertical="center" wrapText="0"/>
    </xf>
    <xf borderId="0" fillId="0" fontId="9" numFmtId="0" xfId="0" applyAlignment="1" applyFont="1">
      <alignment horizontal="center" vertical="center"/>
    </xf>
    <xf borderId="0" fillId="5" fontId="19" numFmtId="0" xfId="0" applyAlignment="1" applyFill="1" applyFont="1">
      <alignment horizontal="center" readingOrder="0" shrinkToFit="0" vertical="center" wrapText="0"/>
    </xf>
    <xf borderId="0" fillId="6" fontId="19" numFmtId="0" xfId="0" applyAlignment="1" applyFill="1" applyFont="1">
      <alignment horizontal="center" readingOrder="0" shrinkToFit="0" vertical="center" wrapText="0"/>
    </xf>
    <xf borderId="0" fillId="7" fontId="19" numFmtId="0" xfId="0" applyAlignment="1" applyFill="1" applyFont="1">
      <alignment horizontal="center" readingOrder="0" shrinkToFit="0" vertical="center" wrapText="0"/>
    </xf>
    <xf borderId="0" fillId="8" fontId="19" numFmtId="0" xfId="0" applyAlignment="1" applyFill="1" applyFont="1">
      <alignment horizontal="center" readingOrder="0" shrinkToFit="0" vertical="center" wrapText="0"/>
    </xf>
    <xf borderId="0" fillId="9" fontId="21" numFmtId="0" xfId="0" applyAlignment="1" applyFill="1" applyFont="1">
      <alignment horizontal="center" readingOrder="0" shrinkToFit="0" vertical="center" wrapText="0"/>
    </xf>
    <xf borderId="0" fillId="12" fontId="19" numFmtId="0" xfId="0" applyAlignment="1" applyFill="1" applyFont="1">
      <alignment horizontal="center" readingOrder="0" shrinkToFit="0" vertical="center" wrapText="0"/>
    </xf>
    <xf borderId="0" fillId="15" fontId="19" numFmtId="0" xfId="0" applyAlignment="1" applyFill="1" applyFont="1">
      <alignment horizontal="center" readingOrder="0" shrinkToFit="0" vertical="center" wrapText="0"/>
    </xf>
    <xf borderId="0" fillId="14" fontId="19" numFmtId="0" xfId="0" applyAlignment="1" applyFill="1" applyFont="1">
      <alignment horizontal="center" readingOrder="0" shrinkToFit="0" vertical="center" wrapText="0"/>
    </xf>
    <xf borderId="0" fillId="16" fontId="19" numFmtId="0" xfId="0" applyAlignment="1" applyFill="1" applyFont="1">
      <alignment horizontal="center" readingOrder="0" shrinkToFit="0" vertical="center" wrapText="0"/>
    </xf>
    <xf borderId="0" fillId="13" fontId="9" numFmtId="0" xfId="0" applyAlignment="1" applyFill="1" applyFont="1">
      <alignment horizontal="center" readingOrder="0" shrinkToFit="0" vertical="center" wrapText="0"/>
    </xf>
    <xf borderId="0" fillId="13" fontId="9" numFmtId="166" xfId="0" applyAlignment="1" applyFill="1" applyFont="1" applyNumberFormat="1">
      <alignment horizontal="center" readingOrder="0" shrinkToFit="0" vertical="center" wrapText="0"/>
    </xf>
    <xf borderId="0" fillId="3" fontId="9" numFmtId="0" xfId="0" applyFill="1" applyFont="1"/>
    <xf borderId="0" fillId="13" fontId="9" numFmtId="0" xfId="0" applyAlignment="1" applyFill="1" applyFont="1">
      <alignment horizontal="center" readingOrder="0" shrinkToFit="0" vertical="center" wrapText="0"/>
    </xf>
    <xf borderId="0" fillId="3" fontId="22" numFmtId="0" xfId="0" applyAlignment="1" applyFill="1" applyFont="1">
      <alignment horizontal="center" readingOrder="0"/>
    </xf>
    <xf borderId="0" fillId="3" fontId="22" numFmtId="0" xfId="0" applyAlignment="1" applyFill="1" applyFont="1">
      <alignment horizontal="left" readingOrder="0"/>
    </xf>
    <xf borderId="12" fillId="17" fontId="6" numFmtId="0" xfId="0" applyAlignment="1" applyBorder="1" applyFill="1" applyFont="1">
      <alignment horizontal="right" readingOrder="0" vertical="center"/>
    </xf>
    <xf borderId="9" fillId="17" fontId="6" numFmtId="0" xfId="0" applyAlignment="1" applyBorder="1" applyFill="1" applyFont="1">
      <alignment readingOrder="0" vertical="center"/>
    </xf>
    <xf borderId="9" fillId="11" fontId="21" numFmtId="0" xfId="0" applyAlignment="1" applyBorder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left" readingOrder="0" vertical="center"/>
    </xf>
    <xf borderId="0" fillId="3" fontId="9" numFmtId="0" xfId="0" applyAlignment="1" applyFill="1" applyFont="1">
      <alignment horizontal="center" readingOrder="0"/>
    </xf>
    <xf borderId="0" fillId="3" fontId="23" numFmtId="0" xfId="0" applyAlignment="1" applyFill="1" applyFont="1">
      <alignment horizontal="center" readingOrder="0" vertical="bottom"/>
    </xf>
    <xf borderId="12" fillId="2" fontId="12" numFmtId="0" xfId="0" applyAlignment="1" applyBorder="1" applyFill="1" applyFont="1">
      <alignment horizontal="left" readingOrder="0" vertical="center"/>
    </xf>
    <xf borderId="12" fillId="18" fontId="5" numFmtId="0" xfId="0" applyAlignment="1" applyBorder="1" applyFill="1" applyFont="1">
      <alignment horizontal="center" readingOrder="0" vertical="center"/>
    </xf>
    <xf borderId="12" fillId="19" fontId="5" numFmtId="0" xfId="0" applyAlignment="1" applyBorder="1" applyFill="1" applyFont="1">
      <alignment horizontal="center" readingOrder="0" vertical="center"/>
    </xf>
    <xf borderId="12" fillId="18" fontId="5" numFmtId="0" xfId="0" applyAlignment="1" applyBorder="1" applyFill="1" applyFont="1">
      <alignment horizontal="center" readingOrder="0" vertical="center"/>
    </xf>
    <xf borderId="0" fillId="4" fontId="7" numFmtId="0" xfId="0" applyAlignment="1" applyFill="1" applyFont="1">
      <alignment readingOrder="0" shrinkToFit="0" vertical="bottom" wrapText="0"/>
    </xf>
    <xf borderId="12" fillId="3" fontId="5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horizontal="left" shrinkToFit="0" vertical="bottom" wrapText="0"/>
    </xf>
    <xf borderId="9" fillId="0" fontId="11" numFmtId="0" xfId="0" applyAlignment="1" applyBorder="1" applyFont="1">
      <alignment readingOrder="0" shrinkToFit="0" vertical="bottom" wrapText="0"/>
    </xf>
    <xf borderId="1" fillId="0" fontId="24" numFmtId="0" xfId="0" applyAlignment="1" applyBorder="1" applyFont="1">
      <alignment readingOrder="0" shrinkToFit="0" vertical="center" wrapText="1"/>
    </xf>
    <xf borderId="0" fillId="0" fontId="11" numFmtId="0" xfId="0" applyAlignment="1" applyFont="1">
      <alignment readingOrder="0" shrinkToFit="0" vertical="bottom" wrapText="0"/>
    </xf>
    <xf borderId="0" fillId="0" fontId="25" numFmtId="0" xfId="0" applyAlignment="1" applyFont="1">
      <alignment readingOrder="0" vertical="center"/>
    </xf>
    <xf borderId="12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4" fillId="0" fontId="26" numFmtId="0" xfId="0" applyAlignment="1" applyBorder="1" applyFont="1">
      <alignment horizontal="center" readingOrder="0" shrinkToFit="0" vertical="center" wrapText="1"/>
    </xf>
    <xf borderId="9" fillId="2" fontId="12" numFmtId="0" xfId="0" applyAlignment="1" applyBorder="1" applyFill="1" applyFont="1">
      <alignment readingOrder="0"/>
    </xf>
    <xf borderId="9" fillId="20" fontId="12" numFmtId="0" xfId="0" applyAlignment="1" applyBorder="1" applyFill="1" applyFont="1">
      <alignment readingOrder="0"/>
    </xf>
    <xf borderId="0" fillId="0" fontId="6" numFmtId="0" xfId="0" applyAlignment="1" applyFont="1">
      <alignment horizontal="center" readingOrder="0"/>
    </xf>
    <xf borderId="0" fillId="0" fontId="4" numFmtId="0" xfId="0" applyFont="1"/>
    <xf borderId="1" fillId="0" fontId="23" numFmtId="0" xfId="0" applyAlignment="1" applyBorder="1" applyFont="1">
      <alignment shrinkToFit="0" vertical="center" wrapText="1"/>
    </xf>
    <xf borderId="2" fillId="0" fontId="23" numFmtId="0" xfId="0" applyAlignment="1" applyBorder="1" applyFont="1">
      <alignment shrinkToFit="0" vertical="center" wrapText="1"/>
    </xf>
    <xf borderId="0" fillId="21" fontId="9" numFmtId="0" xfId="0" applyAlignment="1" applyFill="1" applyFont="1">
      <alignment horizontal="center" readingOrder="0" vertical="center"/>
    </xf>
    <xf borderId="3" fillId="0" fontId="23" numFmtId="0" xfId="0" applyAlignment="1" applyBorder="1" applyFont="1">
      <alignment shrinkToFit="0" vertical="center" wrapText="1"/>
    </xf>
    <xf borderId="0" fillId="21" fontId="9" numFmtId="0" xfId="0" applyAlignment="1" applyFill="1" applyFont="1">
      <alignment horizontal="center" vertical="center"/>
    </xf>
    <xf borderId="1" fillId="0" fontId="23" numFmtId="0" xfId="0" applyAlignment="1" applyBorder="1" applyFont="1">
      <alignment horizontal="left" vertical="center"/>
    </xf>
    <xf borderId="0" fillId="0" fontId="9" numFmtId="0" xfId="0" applyAlignment="1" applyFont="1">
      <alignment horizontal="center" readingOrder="0"/>
    </xf>
    <xf borderId="4" fillId="0" fontId="23" numFmtId="0" xfId="0" applyAlignment="1" applyBorder="1" applyFont="1">
      <alignment readingOrder="0" shrinkToFit="0" vertical="center" wrapText="1"/>
    </xf>
    <xf borderId="0" fillId="0" fontId="23" numFmtId="0" xfId="0" applyAlignment="1" applyFont="1">
      <alignment readingOrder="0" shrinkToFit="0" vertical="center" wrapText="1"/>
    </xf>
    <xf borderId="4" fillId="0" fontId="23" numFmtId="0" xfId="0" applyAlignment="1" applyBorder="1" applyFont="1">
      <alignment shrinkToFit="0" vertical="center" wrapText="1"/>
    </xf>
    <xf borderId="0" fillId="0" fontId="23" numFmtId="0" xfId="0" applyAlignment="1" applyFont="1">
      <alignment shrinkToFit="0" vertical="center" wrapText="1"/>
    </xf>
    <xf borderId="5" fillId="0" fontId="23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 shrinkToFit="0" vertical="center" wrapText="1"/>
    </xf>
    <xf borderId="9" fillId="20" fontId="27" numFmtId="0" xfId="0" applyAlignment="1" applyBorder="1" applyFill="1" applyFont="1">
      <alignment readingOrder="0"/>
    </xf>
    <xf borderId="0" fillId="0" fontId="9" numFmtId="0" xfId="0" applyAlignment="1" applyFont="1">
      <alignment horizontal="center"/>
    </xf>
    <xf borderId="0" fillId="21" fontId="9" numFmtId="0" xfId="0" applyAlignment="1" applyFill="1" applyFont="1">
      <alignment horizontal="center" readingOrder="0" shrinkToFit="0" vertical="center" wrapText="0"/>
    </xf>
    <xf borderId="0" fillId="22" fontId="28" numFmtId="166" xfId="0" applyAlignment="1" applyFill="1" applyFont="1" applyNumberFormat="1">
      <alignment horizontal="center" shrinkToFit="0" vertical="center" wrapText="0"/>
    </xf>
    <xf borderId="0" fillId="22" fontId="28" numFmtId="0" xfId="0" applyAlignment="1" applyFill="1" applyFont="1">
      <alignment horizontal="center" readingOrder="0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22" fontId="28" numFmtId="0" xfId="0" applyAlignment="1" applyFill="1" applyFont="1">
      <alignment horizontal="center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6" fillId="20" fontId="12" numFmtId="0" xfId="0" applyAlignment="1" applyBorder="1" applyFill="1" applyFont="1">
      <alignment readingOrder="0"/>
    </xf>
    <xf borderId="1" fillId="3" fontId="23" numFmtId="0" xfId="0" applyAlignment="1" applyBorder="1" applyFill="1" applyFont="1">
      <alignment horizontal="left" shrinkToFit="0" vertical="center" wrapText="1"/>
    </xf>
    <xf borderId="1" fillId="0" fontId="26" numFmtId="0" xfId="0" applyAlignment="1" applyBorder="1" applyFont="1">
      <alignment horizontal="center" readingOrder="0" shrinkToFit="0" vertical="center" wrapText="1"/>
    </xf>
    <xf borderId="0" fillId="0" fontId="29" numFmtId="0" xfId="0" applyAlignment="1" applyFont="1">
      <alignment horizontal="center" readingOrder="0"/>
    </xf>
    <xf borderId="0" fillId="0" fontId="29" numFmtId="0" xfId="0" applyAlignment="1" applyFont="1">
      <alignment horizontal="center"/>
    </xf>
    <xf borderId="0" fillId="0" fontId="30" numFmtId="0" xfId="0" applyAlignment="1" applyFont="1">
      <alignment horizontal="center" readingOrder="0"/>
    </xf>
    <xf borderId="0" fillId="0" fontId="30" numFmtId="0" xfId="0" applyAlignment="1" applyFont="1">
      <alignment readingOrder="0"/>
    </xf>
    <xf borderId="0" fillId="0" fontId="29" numFmtId="0" xfId="0" applyAlignment="1" applyFont="1">
      <alignment readingOrder="0"/>
    </xf>
    <xf borderId="21" fillId="22" fontId="28" numFmtId="166" xfId="0" applyAlignment="1" applyBorder="1" applyFill="1" applyFont="1" applyNumberFormat="1">
      <alignment horizontal="center" shrinkToFit="0" vertical="center" wrapText="0"/>
    </xf>
    <xf borderId="21" fillId="22" fontId="28" numFmtId="0" xfId="0" applyAlignment="1" applyBorder="1" applyFill="1" applyFont="1">
      <alignment horizontal="center" readingOrder="0" shrinkToFit="0" vertical="center" wrapText="0"/>
    </xf>
    <xf borderId="21" fillId="22" fontId="28" numFmtId="0" xfId="0" applyAlignment="1" applyBorder="1" applyFill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1) Respostas ao formulá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Análise Comportamental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'2) Análise Anaminese'!$B$8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'2) Análise Anaminese'!$C$7:$K$7</c:f>
            </c:strRef>
          </c:cat>
          <c:val>
            <c:numRef>
              <c:f>'2) Análise Anaminese'!$C$8:$K$8</c:f>
              <c:numCache/>
            </c:numRef>
          </c:val>
        </c:ser>
        <c:axId val="1308897912"/>
        <c:axId val="2073290280"/>
      </c:barChart>
      <c:catAx>
        <c:axId val="1308897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290280"/>
      </c:catAx>
      <c:valAx>
        <c:axId val="2073290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88979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45</xdr:row>
      <xdr:rowOff>28575</xdr:rowOff>
    </xdr:from>
    <xdr:ext cx="11658600" cy="45243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257175</xdr:colOff>
      <xdr:row>61</xdr:row>
      <xdr:rowOff>200025</xdr:rowOff>
    </xdr:from>
    <xdr:ext cx="4857750" cy="16287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CX128" displayName="Form_Responses" name="Form_Responses" id="1">
  <tableColumns count="102">
    <tableColumn name="Column 103" id="1"/>
    <tableColumn name="Carimbo de data/hora" id="2"/>
    <tableColumn name="Nome" id="3"/>
    <tableColumn name="Email " id="4"/>
    <tableColumn name="Telefone" id="5"/>
    <tableColumn name="Usuário do Instagram" id="6"/>
    <tableColumn name="Nome do cão" id="7"/>
    <tableColumn name="Raça" id="8"/>
    <tableColumn name="Idade" id="9"/>
    <tableColumn name="Castrado?" id="10"/>
    <tableColumn name="Qual o seu maior problema com seu cão hoje?" id="11"/>
    <tableColumn name="Gosta de farejar o chão ou cheirar coisas?" id="12"/>
    <tableColumn name="Persegue gatos, pássaros etc.?" id="13"/>
    <tableColumn name="Persegue bicicletas, motos ou skates?" id="14"/>
    <tableColumn name="Cava com frequência?" id="15"/>
    <tableColumn name="Procura seguir odores?" id="16"/>
    <tableColumn name="Já matou e comeu algum animal?" id="17"/>
    <tableColumn name="Chacoalha e &quot;mata&quot; brinquedos?" id="18"/>
    <tableColumn name="Come muito rápido?" id="19"/>
    <tableColumn name="Rouba comida ou lixo?" id="20"/>
    <tableColumn name="Se esfrega em fezes ou odores fortes?" id="21"/>
    <tableColumn name="Mordisca calcanhares?" id="22"/>
    <tableColumn name="Encara pessoas ou cães?" id="23"/>
    <tableColumn name="Transpõe obstáculos?" id="24"/>
    <tableColumn name="Se agacha observando pessoas ou cães?" id="25"/>
    <tableColumn name="Movimento de grupos chama atenção?" id="26"/>
    <tableColumn name="Brinca perseguindo cães?" id="27"/>
    <tableColumn name="Fica aflito quando alguém sai?" id="28"/>
    <tableColumn name="Se inquieta com bicicletas ou crianças?" id="29"/>
    <tableColumn name="Adora correr?" id="30"/>
    <tableColumn name="Parece atento aos seus movimentos?" id="31"/>
    <tableColumn name="Já matou algum cão ou aparenta querer matar?" id="32"/>
    <tableColumn name="Já matou e despedaçou algum cão?" id="33"/>
    <tableColumn name="Possui ímpeto de brigar?" id="34"/>
    <tableColumn name="Puxa a guia quando vê outro cão?" id="35"/>
    <tableColumn name="Interage de forma agressiva com outros cães?" id="36"/>
    <tableColumn name="Resiste em largar objetos?" id="37"/>
    <tableColumn name="Chacoalha brinquedos de forma irritada?" id="38"/>
    <tableColumn name="Mastiga objetos com muita força?" id="39"/>
    <tableColumn name="Ataca outros cães sem sinais?" id="40"/>
    <tableColumn name="Perseguiria cães para brigar?" id="41"/>
    <tableColumn name="Late para pessoas no portão?" id="42"/>
    <tableColumn name="Fica nervoso com movimentos externos?" id="43"/>
    <tableColumn name="Vigia portas ou janelas?" id="44"/>
    <tableColumn name="Age de forma agressiva no portão?" id="45"/>
    <tableColumn name="Precisa ser isolado para receber visitas?" id="46"/>
    <tableColumn name="Fica nervoso com convidados?" id="47"/>
    <tableColumn name="Late para convidados andando pela casa?" id="48"/>
    <tableColumn name="Late no carro para pessoas?" id="49"/>
    <tableColumn name="Fica nervoso com campainha?" id="50"/>
    <tableColumn name="Se importa com barulhos externos?" id="51"/>
    <tableColumn name="Gosta de carregar objetos?" id="52"/>
    <tableColumn name="Gosta de brinquedos em movimento?" id="53"/>
    <tableColumn name="Traz brinquedos para brincar?" id="54"/>
    <tableColumn name="Traz brinquedos para jogar?" id="55"/>
    <tableColumn name="Fica muito empolgado para brincar?" id="56"/>
    <tableColumn name="Corre atrás de pessoas por diversão?" id="57"/>
    <tableColumn name="Corre desenfreadamente pela casa?" id="58"/>
    <tableColumn name="Procura brinquedos?" id="59"/>
    <tableColumn name="Convida outros cães para brincar?" id="60"/>
    <tableColumn name="Qualquer objeto vira brinquedo?" id="61"/>
    <tableColumn name="Passa tranquilamente por cães?" id="62"/>
    <tableColumn name="Segue você pela casa?" id="63"/>
    <tableColumn name="Permanece amigável com cães?" id="64"/>
    <tableColumn name="Permanece amigável com pessoas?" id="65"/>
    <tableColumn name="Pede carinho?" id="66"/>
    <tableColumn name="Relaxa ao ser penteado?" id="67"/>
    <tableColumn name="Vem quando chamado?" id="68"/>
    <tableColumn name="Brinca com pessoas desconhecidas?" id="69"/>
    <tableColumn name="Brinca com cães desconhecidos?" id="70"/>
    <tableColumn name="Permite retirar objetos da boca?" id="71"/>
    <tableColumn name="Investe contra portões com cães?" id="72"/>
    <tableColumn name="Quando inseguro, rosna ou morde?" id="73"/>
    <tableColumn name="Fica tenso com pessoas?" id="74"/>
    <tableColumn name="Fica tenso com cães?" id="75"/>
    <tableColumn name="Rosna quando manipulado?" id="76"/>
    <tableColumn name="Rosna ao ser penteado?" id="77"/>
    <tableColumn name="Parece proteger você?" id="78"/>
    <tableColumn name="Rosna para estranhos?" id="79"/>
    <tableColumn name="Briga com cães desconhecidos?" id="80"/>
    <tableColumn name="Faz posse de brinquedos ou comida?" id="81"/>
    <tableColumn name="Tenta se afastar de portões com cães?" id="82"/>
    <tableColumn name="Quando inseguro, foge ou grita?" id="83"/>
    <tableColumn name="Evita cães?" id="84"/>
    <tableColumn name="Evita pessoas?" id="85"/>
    <tableColumn name="Tenta fugir quando manipulado?" id="86"/>
    <tableColumn name="Tenta fugir ao ser penteado?" id="87"/>
    <tableColumn name="Persegue você como se fosse abandoná-lo?" id="88"/>
    <tableColumn name="Tenta fugir de estranhos?" id="89"/>
    <tableColumn name="Evita cães desconhecidos?" id="90"/>
    <tableColumn name="Situações novas o deixam inquieto?" id="91"/>
    <tableColumn name="Diminui o ritmo ao passar por cães?" id="92"/>
    <tableColumn name="Quando inseguro fica imóvel?" id="93"/>
    <tableColumn name="Fica imóvel diante de cães?" id="94"/>
    <tableColumn name="Fica imóvel diante de pessoas?" id="95"/>
    <tableColumn name="Fica imóvel quando manipulado?" id="96"/>
    <tableColumn name="Fica imóvel ao ser penteado?" id="97"/>
    <tableColumn name="Fica travado quando se assusta?" id="98"/>
    <tableColumn name="Se agacha e fica imóvel diante de estranhos?" id="99"/>
    <tableColumn name="Fica tenso diante de cães desconhecidos?" id="100"/>
    <tableColumn name="Fica muito quieto como se estivesse incomodado?" id="101"/>
    <tableColumn name="Porque você acredita que a escola de cães pode te ajudar na educação do seu cão?" id="102"/>
  </tableColumns>
  <tableStyleInfo name="1) Respostas ao formulá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.25"/>
    <col customWidth="1" min="10" max="10" width="5.5"/>
  </cols>
  <sheetData>
    <row r="2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>
      <c r="B3" s="4"/>
      <c r="R3" s="5"/>
    </row>
    <row r="4">
      <c r="B4" s="4"/>
      <c r="R4" s="5"/>
    </row>
    <row r="5">
      <c r="B5" s="6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/>
    </row>
    <row r="7">
      <c r="A7" s="9"/>
      <c r="B7" s="10"/>
      <c r="C7" s="10"/>
      <c r="D7" s="10"/>
      <c r="E7" s="10"/>
      <c r="F7" s="10"/>
      <c r="G7" s="10"/>
      <c r="H7" s="10"/>
      <c r="I7" s="10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B8" s="11" t="s">
        <v>1</v>
      </c>
      <c r="C8" s="12"/>
      <c r="D8" s="12"/>
      <c r="E8" s="12"/>
      <c r="F8" s="12"/>
      <c r="G8" s="12"/>
      <c r="H8" s="12"/>
      <c r="I8" s="13"/>
      <c r="K8" s="15" t="s">
        <v>2</v>
      </c>
      <c r="L8" s="12"/>
      <c r="M8" s="12"/>
      <c r="N8" s="12"/>
      <c r="O8" s="12"/>
      <c r="P8" s="12"/>
      <c r="Q8" s="12"/>
      <c r="R8" s="13"/>
    </row>
  </sheetData>
  <mergeCells count="3">
    <mergeCell ref="B2:R5"/>
    <mergeCell ref="B8:I8"/>
    <mergeCell ref="K8:R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2" width="21.25"/>
    <col customWidth="1" min="3" max="5" width="18.88"/>
    <col customWidth="1" min="6" max="6" width="21.0"/>
    <col customWidth="1" min="7" max="10" width="18.88"/>
    <col customWidth="1" min="11" max="11" width="37.63"/>
    <col customWidth="1" min="12" max="12" width="35.75"/>
    <col customWidth="1" min="13" max="13" width="27.88"/>
    <col customWidth="1" min="14" max="14" width="33.13"/>
    <col customWidth="1" min="15" max="15" width="21.5"/>
    <col customWidth="1" min="16" max="16" width="22.13"/>
    <col customWidth="1" min="17" max="17" width="29.88"/>
    <col customWidth="1" min="18" max="18" width="28.75"/>
    <col customWidth="1" min="19" max="19" width="20.0"/>
    <col customWidth="1" min="20" max="20" width="21.75"/>
    <col customWidth="1" min="21" max="21" width="33.25"/>
    <col customWidth="1" min="22" max="22" width="22.13"/>
    <col customWidth="1" min="23" max="23" width="23.75"/>
    <col customWidth="1" min="24" max="24" width="21.38"/>
    <col customWidth="1" min="25" max="25" width="35.25"/>
    <col customWidth="1" min="26" max="26" width="33.5"/>
    <col customWidth="1" min="27" max="27" width="24.0"/>
    <col customWidth="1" min="28" max="28" width="27.5"/>
    <col customWidth="1" min="29" max="29" width="33.88"/>
    <col customWidth="1" min="30" max="30" width="18.88"/>
    <col customWidth="1" min="31" max="31" width="32.5"/>
    <col customWidth="1" min="32" max="32" width="37.63"/>
    <col customWidth="1" min="33" max="33" width="31.5"/>
    <col customWidth="1" min="34" max="34" width="23.38"/>
    <col customWidth="1" min="35" max="35" width="29.75"/>
    <col customWidth="1" min="36" max="36" width="37.63"/>
    <col customWidth="1" min="37" max="37" width="24.5"/>
    <col customWidth="1" min="38" max="38" width="34.88"/>
    <col customWidth="1" min="39" max="39" width="30.13"/>
    <col customWidth="1" min="40" max="40" width="27.5"/>
    <col customWidth="1" min="41" max="41" width="26.38"/>
    <col customWidth="1" min="42" max="42" width="26.88"/>
    <col customWidth="1" min="43" max="43" width="35.13"/>
    <col customWidth="1" min="44" max="44" width="22.63"/>
    <col customWidth="1" min="45" max="45" width="30.75"/>
    <col customWidth="1" min="46" max="46" width="34.38"/>
    <col customWidth="1" min="47" max="47" width="27.75"/>
    <col customWidth="1" min="48" max="48" width="35.75"/>
    <col customWidth="1" min="49" max="49" width="25.88"/>
    <col customWidth="1" min="50" max="50" width="27.5"/>
    <col customWidth="1" min="51" max="51" width="31.13"/>
    <col customWidth="1" min="52" max="52" width="24.88"/>
    <col customWidth="1" min="53" max="53" width="32.38"/>
    <col customWidth="1" min="54" max="54" width="26.88"/>
    <col customWidth="1" min="55" max="55" width="25.5"/>
    <col customWidth="1" min="56" max="56" width="31.38"/>
    <col customWidth="1" min="57" max="57" width="32.25"/>
    <col customWidth="1" min="58" max="58" width="31.5"/>
    <col customWidth="1" min="59" max="59" width="20.38"/>
    <col customWidth="1" min="60" max="60" width="30.0"/>
    <col customWidth="1" min="61" max="61" width="28.38"/>
    <col customWidth="1" min="62" max="62" width="28.63"/>
    <col customWidth="1" min="63" max="63" width="21.88"/>
    <col customWidth="1" min="64" max="64" width="28.75"/>
    <col customWidth="1" min="65" max="65" width="31.38"/>
    <col customWidth="1" min="66" max="66" width="18.88"/>
    <col customWidth="1" min="67" max="67" width="23.13"/>
    <col customWidth="1" min="68" max="68" width="22.5"/>
    <col customWidth="1" min="69" max="69" width="32.25"/>
    <col customWidth="1" min="70" max="70" width="29.63"/>
    <col customWidth="1" min="71" max="71" width="28.5"/>
    <col customWidth="1" min="72" max="72" width="29.88"/>
    <col customWidth="1" min="73" max="73" width="30.63"/>
    <col customWidth="1" min="74" max="74" width="23.75"/>
    <col customWidth="1" min="75" max="75" width="21.13"/>
    <col customWidth="1" min="76" max="76" width="25.5"/>
    <col customWidth="1" min="77" max="77" width="22.75"/>
    <col customWidth="1" min="78" max="78" width="21.5"/>
    <col customWidth="1" min="79" max="79" width="22.0"/>
    <col customWidth="1" min="80" max="80" width="28.75"/>
    <col customWidth="1" min="81" max="81" width="32.25"/>
    <col customWidth="1" min="82" max="82" width="33.5"/>
    <col customWidth="1" min="83" max="83" width="28.38"/>
    <col customWidth="1" min="84" max="85" width="18.88"/>
    <col customWidth="1" min="86" max="86" width="28.75"/>
    <col customWidth="1" min="87" max="87" width="26.0"/>
    <col customWidth="1" min="88" max="88" width="37.25"/>
    <col customWidth="1" min="89" max="89" width="23.75"/>
    <col customWidth="1" min="90" max="90" width="24.88"/>
    <col customWidth="1" min="91" max="91" width="31.25"/>
    <col customWidth="1" min="92" max="92" width="31.38"/>
    <col customWidth="1" min="93" max="93" width="26.75"/>
    <col customWidth="1" min="94" max="94" width="25.25"/>
    <col customWidth="1" min="95" max="95" width="28.0"/>
    <col customWidth="1" min="96" max="96" width="29.13"/>
    <col customWidth="1" min="97" max="97" width="26.5"/>
    <col customWidth="1" min="98" max="98" width="29.13"/>
    <col customWidth="1" min="99" max="99" width="37.63"/>
    <col customWidth="1" min="100" max="100" width="36.0"/>
    <col customWidth="1" min="101" max="102" width="37.63"/>
    <col customWidth="1" min="103" max="113" width="18.88"/>
  </cols>
  <sheetData>
    <row r="1">
      <c r="A1" s="18">
        <v>1.0</v>
      </c>
      <c r="B1" s="18">
        <v>2.0</v>
      </c>
      <c r="C1" s="18">
        <v>3.0</v>
      </c>
      <c r="D1" s="18">
        <v>4.0</v>
      </c>
      <c r="E1" s="18">
        <v>5.0</v>
      </c>
      <c r="F1" s="18">
        <v>6.0</v>
      </c>
      <c r="G1" s="18">
        <v>7.0</v>
      </c>
      <c r="H1" s="18">
        <v>8.0</v>
      </c>
      <c r="I1" s="18">
        <v>9.0</v>
      </c>
      <c r="J1" s="18">
        <v>10.0</v>
      </c>
      <c r="K1" s="18">
        <v>11.0</v>
      </c>
      <c r="L1" s="18">
        <v>12.0</v>
      </c>
      <c r="M1" s="18">
        <v>13.0</v>
      </c>
      <c r="N1" s="18">
        <v>14.0</v>
      </c>
      <c r="O1" s="18">
        <v>15.0</v>
      </c>
      <c r="P1" s="18">
        <v>16.0</v>
      </c>
      <c r="Q1" s="18">
        <v>17.0</v>
      </c>
      <c r="R1" s="18">
        <v>18.0</v>
      </c>
      <c r="S1" s="18">
        <v>19.0</v>
      </c>
      <c r="T1" s="18">
        <v>20.0</v>
      </c>
      <c r="U1" s="18">
        <v>21.0</v>
      </c>
      <c r="V1" s="18">
        <v>22.0</v>
      </c>
      <c r="W1" s="18">
        <v>23.0</v>
      </c>
      <c r="X1" s="18">
        <v>24.0</v>
      </c>
      <c r="Y1" s="18">
        <v>25.0</v>
      </c>
      <c r="Z1" s="18">
        <v>26.0</v>
      </c>
      <c r="AA1" s="18">
        <v>27.0</v>
      </c>
      <c r="AB1" s="18">
        <v>28.0</v>
      </c>
      <c r="AC1" s="18">
        <v>29.0</v>
      </c>
      <c r="AD1" s="18">
        <v>30.0</v>
      </c>
      <c r="AE1" s="18">
        <v>31.0</v>
      </c>
      <c r="AF1" s="18">
        <v>32.0</v>
      </c>
      <c r="AG1" s="18">
        <v>33.0</v>
      </c>
      <c r="AH1" s="18">
        <v>34.0</v>
      </c>
      <c r="AI1" s="18">
        <v>35.0</v>
      </c>
      <c r="AJ1" s="18">
        <v>36.0</v>
      </c>
      <c r="AK1" s="18">
        <v>37.0</v>
      </c>
      <c r="AL1" s="18">
        <v>38.0</v>
      </c>
      <c r="AM1" s="18">
        <v>39.0</v>
      </c>
      <c r="AN1" s="18">
        <v>40.0</v>
      </c>
      <c r="AO1" s="18">
        <v>41.0</v>
      </c>
      <c r="AP1" s="18">
        <v>42.0</v>
      </c>
      <c r="AQ1" s="18">
        <v>43.0</v>
      </c>
      <c r="AR1" s="18">
        <v>44.0</v>
      </c>
      <c r="AS1" s="18">
        <v>45.0</v>
      </c>
      <c r="AT1" s="18">
        <v>46.0</v>
      </c>
      <c r="AU1" s="18">
        <v>47.0</v>
      </c>
      <c r="AV1" s="18">
        <v>48.0</v>
      </c>
      <c r="AW1" s="18">
        <v>49.0</v>
      </c>
      <c r="AX1" s="18">
        <v>50.0</v>
      </c>
      <c r="AY1" s="18">
        <v>51.0</v>
      </c>
      <c r="AZ1" s="18">
        <v>52.0</v>
      </c>
      <c r="BA1" s="18">
        <v>53.0</v>
      </c>
      <c r="BB1" s="18">
        <v>54.0</v>
      </c>
      <c r="BC1" s="18">
        <v>55.0</v>
      </c>
      <c r="BD1" s="18">
        <v>56.0</v>
      </c>
      <c r="BE1" s="18">
        <v>57.0</v>
      </c>
      <c r="BF1" s="18">
        <v>58.0</v>
      </c>
      <c r="BG1" s="18">
        <v>59.0</v>
      </c>
      <c r="BH1" s="18">
        <v>60.0</v>
      </c>
      <c r="BI1" s="18">
        <v>61.0</v>
      </c>
      <c r="BJ1" s="18">
        <v>62.0</v>
      </c>
      <c r="BK1" s="18">
        <v>63.0</v>
      </c>
      <c r="BL1" s="18">
        <v>64.0</v>
      </c>
      <c r="BM1" s="18">
        <v>65.0</v>
      </c>
      <c r="BN1" s="18">
        <v>66.0</v>
      </c>
      <c r="BO1" s="18">
        <v>67.0</v>
      </c>
      <c r="BP1" s="18">
        <v>68.0</v>
      </c>
      <c r="BQ1" s="18">
        <v>69.0</v>
      </c>
      <c r="BR1" s="18">
        <v>70.0</v>
      </c>
      <c r="BS1" s="18">
        <v>71.0</v>
      </c>
      <c r="BT1" s="18">
        <v>72.0</v>
      </c>
      <c r="BU1" s="18">
        <v>73.0</v>
      </c>
      <c r="BV1" s="18">
        <v>74.0</v>
      </c>
      <c r="BW1" s="18">
        <v>75.0</v>
      </c>
      <c r="BX1" s="18">
        <v>76.0</v>
      </c>
      <c r="BY1" s="18">
        <v>77.0</v>
      </c>
      <c r="BZ1" s="18">
        <v>78.0</v>
      </c>
      <c r="CA1" s="18">
        <v>79.0</v>
      </c>
      <c r="CB1" s="18">
        <v>80.0</v>
      </c>
      <c r="CC1" s="18">
        <v>81.0</v>
      </c>
      <c r="CD1" s="18">
        <v>82.0</v>
      </c>
      <c r="CE1" s="18">
        <v>83.0</v>
      </c>
      <c r="CF1" s="18">
        <v>84.0</v>
      </c>
      <c r="CG1" s="18">
        <v>85.0</v>
      </c>
      <c r="CH1" s="18">
        <v>86.0</v>
      </c>
      <c r="CI1" s="18">
        <v>87.0</v>
      </c>
      <c r="CJ1" s="18">
        <v>88.0</v>
      </c>
      <c r="CK1" s="18">
        <v>89.0</v>
      </c>
      <c r="CL1" s="18">
        <v>90.0</v>
      </c>
      <c r="CM1" s="18">
        <v>91.0</v>
      </c>
      <c r="CN1" s="18">
        <v>92.0</v>
      </c>
      <c r="CO1" s="18">
        <v>93.0</v>
      </c>
      <c r="CP1" s="18">
        <v>94.0</v>
      </c>
      <c r="CQ1" s="18">
        <v>95.0</v>
      </c>
      <c r="CR1" s="18">
        <v>96.0</v>
      </c>
      <c r="CS1" s="18">
        <v>97.0</v>
      </c>
      <c r="CT1" s="18">
        <v>98.0</v>
      </c>
      <c r="CU1" s="18">
        <v>99.0</v>
      </c>
      <c r="CV1" s="18">
        <v>100.0</v>
      </c>
      <c r="CW1" s="18">
        <v>101.0</v>
      </c>
      <c r="CX1" s="18">
        <v>102.0</v>
      </c>
      <c r="CY1" s="18">
        <v>103.0</v>
      </c>
      <c r="CZ1" s="18">
        <v>104.0</v>
      </c>
      <c r="DA1" s="18">
        <v>105.0</v>
      </c>
      <c r="DB1" s="18">
        <v>106.0</v>
      </c>
      <c r="DC1" s="18">
        <v>107.0</v>
      </c>
      <c r="DD1" s="18">
        <v>108.0</v>
      </c>
      <c r="DE1" s="18">
        <v>109.0</v>
      </c>
      <c r="DF1" s="18">
        <v>110.0</v>
      </c>
      <c r="DG1" s="18">
        <v>111.0</v>
      </c>
      <c r="DH1" s="18">
        <v>112.0</v>
      </c>
      <c r="DI1" s="18"/>
    </row>
    <row r="2" ht="22.5" customHeight="1">
      <c r="A2" s="28" t="s">
        <v>8</v>
      </c>
      <c r="B2" s="28" t="s">
        <v>10</v>
      </c>
      <c r="C2" s="28" t="s">
        <v>12</v>
      </c>
      <c r="D2" s="28" t="s">
        <v>13</v>
      </c>
      <c r="E2" s="28" t="s">
        <v>14</v>
      </c>
      <c r="F2" s="28" t="s">
        <v>15</v>
      </c>
      <c r="G2" s="28" t="s">
        <v>5</v>
      </c>
      <c r="H2" s="28" t="s">
        <v>16</v>
      </c>
      <c r="I2" s="28" t="s">
        <v>17</v>
      </c>
      <c r="J2" s="28" t="s">
        <v>18</v>
      </c>
      <c r="K2" s="28" t="s">
        <v>19</v>
      </c>
      <c r="L2" s="36" t="s">
        <v>20</v>
      </c>
      <c r="M2" s="36" t="s">
        <v>23</v>
      </c>
      <c r="N2" s="36" t="s">
        <v>25</v>
      </c>
      <c r="O2" s="36" t="s">
        <v>26</v>
      </c>
      <c r="P2" s="36" t="s">
        <v>27</v>
      </c>
      <c r="Q2" s="36" t="s">
        <v>28</v>
      </c>
      <c r="R2" s="36" t="s">
        <v>30</v>
      </c>
      <c r="S2" s="36" t="s">
        <v>31</v>
      </c>
      <c r="T2" s="36" t="s">
        <v>32</v>
      </c>
      <c r="U2" s="36" t="s">
        <v>33</v>
      </c>
      <c r="V2" s="42" t="s">
        <v>35</v>
      </c>
      <c r="W2" s="42" t="s">
        <v>36</v>
      </c>
      <c r="X2" s="42" t="s">
        <v>37</v>
      </c>
      <c r="Y2" s="42" t="s">
        <v>38</v>
      </c>
      <c r="Z2" s="42" t="s">
        <v>39</v>
      </c>
      <c r="AA2" s="42" t="s">
        <v>41</v>
      </c>
      <c r="AB2" s="42" t="s">
        <v>42</v>
      </c>
      <c r="AC2" s="42" t="s">
        <v>43</v>
      </c>
      <c r="AD2" s="42" t="s">
        <v>44</v>
      </c>
      <c r="AE2" s="42" t="s">
        <v>45</v>
      </c>
      <c r="AF2" s="46" t="s">
        <v>47</v>
      </c>
      <c r="AG2" s="46" t="s">
        <v>49</v>
      </c>
      <c r="AH2" s="46" t="s">
        <v>50</v>
      </c>
      <c r="AI2" s="46" t="s">
        <v>51</v>
      </c>
      <c r="AJ2" s="46" t="s">
        <v>53</v>
      </c>
      <c r="AK2" s="46" t="s">
        <v>54</v>
      </c>
      <c r="AL2" s="46" t="s">
        <v>55</v>
      </c>
      <c r="AM2" s="46" t="s">
        <v>56</v>
      </c>
      <c r="AN2" s="46" t="s">
        <v>57</v>
      </c>
      <c r="AO2" s="46" t="s">
        <v>58</v>
      </c>
      <c r="AP2" s="48" t="s">
        <v>59</v>
      </c>
      <c r="AQ2" s="48" t="s">
        <v>60</v>
      </c>
      <c r="AR2" s="48" t="s">
        <v>61</v>
      </c>
      <c r="AS2" s="48" t="s">
        <v>62</v>
      </c>
      <c r="AT2" s="48" t="s">
        <v>63</v>
      </c>
      <c r="AU2" s="48" t="s">
        <v>64</v>
      </c>
      <c r="AV2" s="48" t="s">
        <v>65</v>
      </c>
      <c r="AW2" s="48" t="s">
        <v>68</v>
      </c>
      <c r="AX2" s="48" t="s">
        <v>69</v>
      </c>
      <c r="AY2" s="48" t="s">
        <v>72</v>
      </c>
      <c r="AZ2" s="54" t="s">
        <v>73</v>
      </c>
      <c r="BA2" s="54" t="s">
        <v>74</v>
      </c>
      <c r="BB2" s="54" t="s">
        <v>75</v>
      </c>
      <c r="BC2" s="54" t="s">
        <v>76</v>
      </c>
      <c r="BD2" s="54" t="s">
        <v>78</v>
      </c>
      <c r="BE2" s="54" t="s">
        <v>79</v>
      </c>
      <c r="BF2" s="54" t="s">
        <v>84</v>
      </c>
      <c r="BG2" s="54" t="s">
        <v>88</v>
      </c>
      <c r="BH2" s="54" t="s">
        <v>90</v>
      </c>
      <c r="BI2" s="54" t="s">
        <v>91</v>
      </c>
      <c r="BJ2" s="64" t="s">
        <v>92</v>
      </c>
      <c r="BK2" s="64" t="s">
        <v>93</v>
      </c>
      <c r="BL2" s="64" t="s">
        <v>96</v>
      </c>
      <c r="BM2" s="64" t="s">
        <v>101</v>
      </c>
      <c r="BN2" s="64" t="s">
        <v>103</v>
      </c>
      <c r="BO2" s="64" t="s">
        <v>104</v>
      </c>
      <c r="BP2" s="64" t="s">
        <v>105</v>
      </c>
      <c r="BQ2" s="64" t="s">
        <v>106</v>
      </c>
      <c r="BR2" s="64" t="s">
        <v>107</v>
      </c>
      <c r="BS2" s="64" t="s">
        <v>108</v>
      </c>
      <c r="BT2" s="74" t="s">
        <v>110</v>
      </c>
      <c r="BU2" s="74" t="s">
        <v>111</v>
      </c>
      <c r="BV2" s="74" t="s">
        <v>112</v>
      </c>
      <c r="BW2" s="74" t="s">
        <v>114</v>
      </c>
      <c r="BX2" s="74" t="s">
        <v>115</v>
      </c>
      <c r="BY2" s="74" t="s">
        <v>117</v>
      </c>
      <c r="BZ2" s="74" t="s">
        <v>118</v>
      </c>
      <c r="CA2" s="74" t="s">
        <v>120</v>
      </c>
      <c r="CB2" s="74" t="s">
        <v>121</v>
      </c>
      <c r="CC2" s="74" t="s">
        <v>123</v>
      </c>
      <c r="CD2" s="80" t="s">
        <v>125</v>
      </c>
      <c r="CE2" s="80" t="s">
        <v>126</v>
      </c>
      <c r="CF2" s="80" t="s">
        <v>127</v>
      </c>
      <c r="CG2" s="80" t="s">
        <v>128</v>
      </c>
      <c r="CH2" s="80" t="s">
        <v>130</v>
      </c>
      <c r="CI2" s="80" t="s">
        <v>131</v>
      </c>
      <c r="CJ2" s="80" t="s">
        <v>132</v>
      </c>
      <c r="CK2" s="80" t="s">
        <v>133</v>
      </c>
      <c r="CL2" s="80" t="s">
        <v>134</v>
      </c>
      <c r="CM2" s="80" t="s">
        <v>135</v>
      </c>
      <c r="CN2" s="81" t="s">
        <v>138</v>
      </c>
      <c r="CO2" s="81" t="s">
        <v>139</v>
      </c>
      <c r="CP2" s="81" t="s">
        <v>140</v>
      </c>
      <c r="CQ2" s="81" t="s">
        <v>142</v>
      </c>
      <c r="CR2" s="81" t="s">
        <v>143</v>
      </c>
      <c r="CS2" s="81" t="s">
        <v>145</v>
      </c>
      <c r="CT2" s="81" t="s">
        <v>146</v>
      </c>
      <c r="CU2" s="81" t="s">
        <v>148</v>
      </c>
      <c r="CV2" s="81" t="s">
        <v>149</v>
      </c>
      <c r="CW2" s="81" t="s">
        <v>151</v>
      </c>
      <c r="CX2" s="28" t="s">
        <v>152</v>
      </c>
      <c r="CY2" s="82"/>
      <c r="CZ2" s="83" t="s">
        <v>154</v>
      </c>
      <c r="DA2" s="84" t="s">
        <v>155</v>
      </c>
      <c r="DB2" s="85" t="s">
        <v>156</v>
      </c>
      <c r="DC2" s="86" t="s">
        <v>157</v>
      </c>
      <c r="DD2" s="87" t="s">
        <v>158</v>
      </c>
      <c r="DE2" s="88" t="s">
        <v>159</v>
      </c>
      <c r="DF2" s="89" t="s">
        <v>160</v>
      </c>
      <c r="DG2" s="90" t="s">
        <v>161</v>
      </c>
      <c r="DH2" s="91" t="s">
        <v>162</v>
      </c>
      <c r="DI2" s="82"/>
    </row>
    <row r="3" ht="22.5" customHeight="1">
      <c r="A3" s="92" t="str">
        <f t="shared" ref="A3:A128" si="1">C3&amp;"|"&amp;G3</f>
        <v>Exemplo_Desafio|Eva</v>
      </c>
      <c r="B3" s="93">
        <v>46225.50022469908</v>
      </c>
      <c r="C3" s="95" t="s">
        <v>165</v>
      </c>
      <c r="D3" s="95" t="s">
        <v>168</v>
      </c>
      <c r="E3" s="95" t="s">
        <v>168</v>
      </c>
      <c r="F3" s="95" t="s">
        <v>168</v>
      </c>
      <c r="G3" s="95" t="s">
        <v>6</v>
      </c>
      <c r="H3" s="95" t="s">
        <v>170</v>
      </c>
      <c r="I3" s="95" t="s">
        <v>171</v>
      </c>
      <c r="J3" s="95" t="s">
        <v>172</v>
      </c>
      <c r="K3" s="95" t="s">
        <v>174</v>
      </c>
      <c r="L3" s="95">
        <v>5.0</v>
      </c>
      <c r="M3" s="95">
        <v>6.0</v>
      </c>
      <c r="N3" s="95">
        <v>0.0</v>
      </c>
      <c r="O3" s="95">
        <v>4.0</v>
      </c>
      <c r="P3" s="95">
        <v>5.0</v>
      </c>
      <c r="Q3" s="95" t="s">
        <v>180</v>
      </c>
      <c r="R3" s="95">
        <v>10.0</v>
      </c>
      <c r="S3" s="95">
        <v>3.0</v>
      </c>
      <c r="T3" s="95">
        <v>0.0</v>
      </c>
      <c r="U3" s="95">
        <v>0.0</v>
      </c>
      <c r="V3" s="95">
        <v>5.0</v>
      </c>
      <c r="W3" s="95">
        <v>0.0</v>
      </c>
      <c r="X3" s="95">
        <v>8.0</v>
      </c>
      <c r="Y3" s="95">
        <v>0.0</v>
      </c>
      <c r="Z3" s="95">
        <v>5.0</v>
      </c>
      <c r="AA3" s="95">
        <v>6.0</v>
      </c>
      <c r="AB3" s="95">
        <v>0.0</v>
      </c>
      <c r="AC3" s="95">
        <v>0.0</v>
      </c>
      <c r="AD3" s="95">
        <v>10.0</v>
      </c>
      <c r="AE3" s="95">
        <v>7.0</v>
      </c>
      <c r="AF3" s="95" t="s">
        <v>180</v>
      </c>
      <c r="AG3" s="95" t="s">
        <v>180</v>
      </c>
      <c r="AH3" s="95">
        <v>0.0</v>
      </c>
      <c r="AI3" s="95">
        <v>0.0</v>
      </c>
      <c r="AJ3" s="95">
        <v>0.0</v>
      </c>
      <c r="AK3" s="95">
        <v>3.0</v>
      </c>
      <c r="AL3" s="95">
        <v>5.0</v>
      </c>
      <c r="AM3" s="95">
        <v>3.0</v>
      </c>
      <c r="AN3" s="95" t="s">
        <v>180</v>
      </c>
      <c r="AO3" s="95">
        <v>0.0</v>
      </c>
      <c r="AP3" s="95">
        <v>10.0</v>
      </c>
      <c r="AQ3" s="95">
        <v>3.0</v>
      </c>
      <c r="AR3" s="95">
        <v>0.0</v>
      </c>
      <c r="AS3" s="95">
        <v>0.0</v>
      </c>
      <c r="AT3" s="95">
        <v>0.0</v>
      </c>
      <c r="AU3" s="95">
        <v>3.0</v>
      </c>
      <c r="AV3" s="95">
        <v>3.0</v>
      </c>
      <c r="AW3" s="95">
        <v>0.0</v>
      </c>
      <c r="AX3" s="95">
        <v>3.0</v>
      </c>
      <c r="AY3" s="95">
        <v>3.0</v>
      </c>
      <c r="AZ3" s="95">
        <v>5.0</v>
      </c>
      <c r="BA3" s="95">
        <v>10.0</v>
      </c>
      <c r="BB3" s="95">
        <v>7.0</v>
      </c>
      <c r="BC3" s="95">
        <v>7.0</v>
      </c>
      <c r="BD3" s="95">
        <v>10.0</v>
      </c>
      <c r="BE3" s="95">
        <v>7.0</v>
      </c>
      <c r="BF3" s="95">
        <v>7.0</v>
      </c>
      <c r="BG3" s="95">
        <v>7.0</v>
      </c>
      <c r="BH3" s="95">
        <v>7.0</v>
      </c>
      <c r="BI3" s="95">
        <v>3.0</v>
      </c>
      <c r="BJ3" s="95">
        <v>10.0</v>
      </c>
      <c r="BK3" s="95">
        <v>5.0</v>
      </c>
      <c r="BL3" s="95">
        <v>10.0</v>
      </c>
      <c r="BM3" s="95">
        <v>5.0</v>
      </c>
      <c r="BN3" s="95">
        <v>10.0</v>
      </c>
      <c r="BO3" s="95">
        <v>8.0</v>
      </c>
      <c r="BP3" s="95">
        <v>10.0</v>
      </c>
      <c r="BQ3" s="95">
        <v>0.0</v>
      </c>
      <c r="BR3" s="95">
        <v>7.0</v>
      </c>
      <c r="BS3" s="95">
        <v>10.0</v>
      </c>
      <c r="BT3" s="95">
        <v>0.0</v>
      </c>
      <c r="BU3" s="95">
        <v>7.0</v>
      </c>
      <c r="BV3" s="95">
        <v>8.0</v>
      </c>
      <c r="BW3" s="95">
        <v>3.0</v>
      </c>
      <c r="BX3" s="95">
        <v>0.0</v>
      </c>
      <c r="BY3" s="95">
        <v>0.0</v>
      </c>
      <c r="BZ3" s="95">
        <v>0.0</v>
      </c>
      <c r="CA3" s="95">
        <v>0.0</v>
      </c>
      <c r="CB3" s="95">
        <v>0.0</v>
      </c>
      <c r="CC3" s="95">
        <v>3.0</v>
      </c>
      <c r="CD3" s="95">
        <v>8.0</v>
      </c>
      <c r="CE3" s="95">
        <v>8.0</v>
      </c>
      <c r="CF3" s="95">
        <v>3.0</v>
      </c>
      <c r="CG3" s="95">
        <v>8.0</v>
      </c>
      <c r="CH3" s="95">
        <v>7.0</v>
      </c>
      <c r="CI3" s="95">
        <v>7.0</v>
      </c>
      <c r="CJ3" s="95">
        <v>0.0</v>
      </c>
      <c r="CK3" s="95">
        <v>10.0</v>
      </c>
      <c r="CL3" s="95">
        <v>3.0</v>
      </c>
      <c r="CM3" s="95">
        <v>0.0</v>
      </c>
      <c r="CN3" s="95">
        <v>5.0</v>
      </c>
      <c r="CO3" s="95">
        <v>9.0</v>
      </c>
      <c r="CP3" s="95">
        <v>0.0</v>
      </c>
      <c r="CQ3" s="95">
        <v>8.0</v>
      </c>
      <c r="CR3" s="95">
        <v>10.0</v>
      </c>
      <c r="CS3" s="95">
        <v>10.0</v>
      </c>
      <c r="CT3" s="95">
        <v>4.0</v>
      </c>
      <c r="CU3" s="95">
        <v>7.0</v>
      </c>
      <c r="CV3" s="95">
        <v>3.0</v>
      </c>
      <c r="CW3" s="95">
        <v>5.0</v>
      </c>
      <c r="CX3" s="95" t="s">
        <v>211</v>
      </c>
      <c r="CY3" s="82"/>
      <c r="CZ3" s="127">
        <f t="shared" ref="CZ3:CZ128" si="2">SUM(L3:U3)+IF(P3="Sim",10,0)</f>
        <v>33</v>
      </c>
      <c r="DA3" s="129">
        <f t="shared" ref="DA3:DA128" si="3">SUM(V3:AE3)</f>
        <v>41</v>
      </c>
      <c r="DB3" s="129">
        <f t="shared" ref="DB3:DB128" si="4">SUM(AF3:AO3)+IF(AF3="Sim",10,0)+IF(AG3="Sim",10,0)+IF(AN3="Sim",10,0)</f>
        <v>11</v>
      </c>
      <c r="DC3" s="129">
        <f t="shared" ref="DC3:DC128" si="5">SUM(AP3:AY3)</f>
        <v>25</v>
      </c>
      <c r="DD3" s="129">
        <f t="shared" ref="DD3:DD128" si="6">SUM(AZ3:BI3)</f>
        <v>70</v>
      </c>
      <c r="DE3" s="129">
        <f t="shared" ref="DE3:DE128" si="7">SUM(BJ3:BS3)</f>
        <v>75</v>
      </c>
      <c r="DF3" s="129">
        <f t="shared" ref="DF3:DF128" si="8">SUM(BT3:CC3)</f>
        <v>21</v>
      </c>
      <c r="DG3" s="129">
        <f t="shared" ref="DG3:DG128" si="9">SUM(CD3:CM3)</f>
        <v>54</v>
      </c>
      <c r="DH3" s="129">
        <f t="shared" ref="DH3:DH128" si="10">SUM(CN3:CW3)</f>
        <v>61</v>
      </c>
      <c r="DI3" s="82"/>
    </row>
    <row r="4" ht="22.5" customHeight="1">
      <c r="A4" s="92" t="str">
        <f t="shared" si="1"/>
        <v>Exemplo_Desafio2|Gaya</v>
      </c>
      <c r="B4" s="93">
        <v>46259.74802586806</v>
      </c>
      <c r="C4" s="95" t="s">
        <v>214</v>
      </c>
      <c r="D4" s="95" t="s">
        <v>168</v>
      </c>
      <c r="E4" s="95" t="s">
        <v>168</v>
      </c>
      <c r="F4" s="95" t="s">
        <v>168</v>
      </c>
      <c r="G4" s="95" t="s">
        <v>215</v>
      </c>
      <c r="H4" s="95" t="s">
        <v>216</v>
      </c>
      <c r="I4" s="95" t="s">
        <v>217</v>
      </c>
      <c r="J4" s="95" t="s">
        <v>99</v>
      </c>
      <c r="K4" s="95" t="s">
        <v>218</v>
      </c>
      <c r="L4" s="95">
        <v>8.0</v>
      </c>
      <c r="M4" s="95">
        <v>0.0</v>
      </c>
      <c r="N4" s="95">
        <v>0.0</v>
      </c>
      <c r="O4" s="95">
        <v>7.0</v>
      </c>
      <c r="P4" s="95">
        <v>10.0</v>
      </c>
      <c r="Q4" s="95" t="s">
        <v>180</v>
      </c>
      <c r="R4" s="95">
        <v>6.0</v>
      </c>
      <c r="S4" s="95">
        <v>2.0</v>
      </c>
      <c r="T4" s="95">
        <v>2.0</v>
      </c>
      <c r="U4" s="95">
        <v>3.0</v>
      </c>
      <c r="V4" s="95">
        <v>0.0</v>
      </c>
      <c r="W4" s="95">
        <v>2.0</v>
      </c>
      <c r="X4" s="95">
        <v>9.0</v>
      </c>
      <c r="Y4" s="95">
        <v>6.0</v>
      </c>
      <c r="Z4" s="95">
        <v>5.0</v>
      </c>
      <c r="AA4" s="95">
        <v>4.0</v>
      </c>
      <c r="AB4" s="95">
        <v>10.0</v>
      </c>
      <c r="AC4" s="95">
        <v>4.0</v>
      </c>
      <c r="AD4" s="95">
        <v>10.0</v>
      </c>
      <c r="AE4" s="95">
        <v>2.0</v>
      </c>
      <c r="AF4" s="95" t="s">
        <v>180</v>
      </c>
      <c r="AG4" s="95" t="s">
        <v>180</v>
      </c>
      <c r="AH4" s="95">
        <v>5.0</v>
      </c>
      <c r="AI4" s="95">
        <v>4.0</v>
      </c>
      <c r="AJ4" s="95">
        <v>3.0</v>
      </c>
      <c r="AK4" s="95">
        <v>2.0</v>
      </c>
      <c r="AL4" s="95">
        <v>6.0</v>
      </c>
      <c r="AM4" s="95">
        <v>3.0</v>
      </c>
      <c r="AN4" s="95" t="s">
        <v>180</v>
      </c>
      <c r="AO4" s="95">
        <v>4.0</v>
      </c>
      <c r="AP4" s="95">
        <v>5.0</v>
      </c>
      <c r="AQ4" s="95">
        <v>1.0</v>
      </c>
      <c r="AR4" s="95">
        <v>0.0</v>
      </c>
      <c r="AS4" s="95">
        <v>0.0</v>
      </c>
      <c r="AT4" s="95">
        <v>6.0</v>
      </c>
      <c r="AU4" s="95">
        <v>5.0</v>
      </c>
      <c r="AV4" s="95">
        <v>4.0</v>
      </c>
      <c r="AW4" s="95">
        <v>3.0</v>
      </c>
      <c r="AX4" s="95">
        <v>2.0</v>
      </c>
      <c r="AY4" s="95">
        <v>6.0</v>
      </c>
      <c r="AZ4" s="95">
        <v>10.0</v>
      </c>
      <c r="BA4" s="95">
        <v>9.0</v>
      </c>
      <c r="BB4" s="95">
        <v>5.0</v>
      </c>
      <c r="BC4" s="95">
        <v>4.0</v>
      </c>
      <c r="BD4" s="95">
        <v>3.0</v>
      </c>
      <c r="BE4" s="95">
        <v>2.0</v>
      </c>
      <c r="BF4" s="95">
        <v>1.0</v>
      </c>
      <c r="BG4" s="95">
        <v>0.0</v>
      </c>
      <c r="BH4" s="95">
        <v>9.0</v>
      </c>
      <c r="BI4" s="95">
        <v>8.0</v>
      </c>
      <c r="BJ4" s="95">
        <v>6.0</v>
      </c>
      <c r="BK4" s="95">
        <v>5.0</v>
      </c>
      <c r="BL4" s="95">
        <v>4.0</v>
      </c>
      <c r="BM4" s="95">
        <v>3.0</v>
      </c>
      <c r="BN4" s="95">
        <v>2.0</v>
      </c>
      <c r="BO4" s="95">
        <v>7.0</v>
      </c>
      <c r="BP4" s="95">
        <v>6.0</v>
      </c>
      <c r="BQ4" s="95">
        <v>7.0</v>
      </c>
      <c r="BR4" s="95">
        <v>6.0</v>
      </c>
      <c r="BS4" s="95">
        <v>9.0</v>
      </c>
      <c r="BT4" s="95">
        <v>2.0</v>
      </c>
      <c r="BU4" s="95">
        <v>2.0</v>
      </c>
      <c r="BV4" s="95">
        <v>1.0</v>
      </c>
      <c r="BW4" s="95">
        <v>1.0</v>
      </c>
      <c r="BX4" s="95">
        <v>10.0</v>
      </c>
      <c r="BY4" s="95">
        <v>10.0</v>
      </c>
      <c r="BZ4" s="95">
        <v>9.0</v>
      </c>
      <c r="CA4" s="95">
        <v>2.0</v>
      </c>
      <c r="CB4" s="95">
        <v>7.0</v>
      </c>
      <c r="CC4" s="95">
        <v>6.0</v>
      </c>
      <c r="CD4" s="95">
        <v>10.0</v>
      </c>
      <c r="CE4" s="95">
        <v>10.0</v>
      </c>
      <c r="CF4" s="95">
        <v>10.0</v>
      </c>
      <c r="CG4" s="95">
        <v>9.0</v>
      </c>
      <c r="CH4" s="95">
        <v>10.0</v>
      </c>
      <c r="CI4" s="95">
        <v>9.0</v>
      </c>
      <c r="CJ4" s="95">
        <v>8.0</v>
      </c>
      <c r="CK4" s="95">
        <v>4.0</v>
      </c>
      <c r="CL4" s="95">
        <v>3.0</v>
      </c>
      <c r="CM4" s="95">
        <v>4.0</v>
      </c>
      <c r="CN4" s="95">
        <v>5.0</v>
      </c>
      <c r="CO4" s="95">
        <v>4.0</v>
      </c>
      <c r="CP4" s="95">
        <v>3.0</v>
      </c>
      <c r="CQ4" s="95">
        <v>2.0</v>
      </c>
      <c r="CR4" s="95">
        <v>1.0</v>
      </c>
      <c r="CS4" s="95">
        <v>6.0</v>
      </c>
      <c r="CT4" s="95">
        <v>4.0</v>
      </c>
      <c r="CU4" s="95">
        <v>1.0</v>
      </c>
      <c r="CV4" s="95">
        <v>3.0</v>
      </c>
      <c r="CW4" s="95">
        <v>2.0</v>
      </c>
      <c r="CX4" s="95" t="s">
        <v>221</v>
      </c>
      <c r="CY4" s="139"/>
      <c r="CZ4" s="127">
        <f t="shared" si="2"/>
        <v>38</v>
      </c>
      <c r="DA4" s="129">
        <f t="shared" si="3"/>
        <v>52</v>
      </c>
      <c r="DB4" s="129">
        <f t="shared" si="4"/>
        <v>27</v>
      </c>
      <c r="DC4" s="129">
        <f t="shared" si="5"/>
        <v>32</v>
      </c>
      <c r="DD4" s="129">
        <f t="shared" si="6"/>
        <v>51</v>
      </c>
      <c r="DE4" s="129">
        <f t="shared" si="7"/>
        <v>55</v>
      </c>
      <c r="DF4" s="129">
        <f t="shared" si="8"/>
        <v>50</v>
      </c>
      <c r="DG4" s="129">
        <f t="shared" si="9"/>
        <v>77</v>
      </c>
      <c r="DH4" s="129">
        <f t="shared" si="10"/>
        <v>31</v>
      </c>
      <c r="DI4" s="139"/>
    </row>
    <row r="5" ht="22.5" customHeight="1">
      <c r="A5" s="140" t="str">
        <f t="shared" si="1"/>
        <v>|</v>
      </c>
      <c r="B5" s="141"/>
      <c r="C5" s="142"/>
      <c r="D5" s="143"/>
      <c r="E5" s="143"/>
      <c r="F5" s="143"/>
      <c r="G5" s="144"/>
      <c r="H5" s="144"/>
      <c r="I5" s="144"/>
      <c r="J5" s="145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4"/>
      <c r="BN5" s="144"/>
      <c r="BO5" s="144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144"/>
      <c r="CD5" s="144"/>
      <c r="CE5" s="144"/>
      <c r="CF5" s="144"/>
      <c r="CG5" s="144"/>
      <c r="CH5" s="144"/>
      <c r="CI5" s="144"/>
      <c r="CJ5" s="144"/>
      <c r="CK5" s="144"/>
      <c r="CL5" s="144"/>
      <c r="CM5" s="144"/>
      <c r="CN5" s="144"/>
      <c r="CO5" s="144"/>
      <c r="CP5" s="144"/>
      <c r="CQ5" s="144"/>
      <c r="CR5" s="144"/>
      <c r="CS5" s="144"/>
      <c r="CT5" s="144"/>
      <c r="CU5" s="144"/>
      <c r="CV5" s="144"/>
      <c r="CW5" s="144"/>
      <c r="CX5" s="145"/>
      <c r="CY5" s="139"/>
      <c r="CZ5" s="127">
        <f t="shared" si="2"/>
        <v>0</v>
      </c>
      <c r="DA5" s="129">
        <f t="shared" si="3"/>
        <v>0</v>
      </c>
      <c r="DB5" s="129">
        <f t="shared" si="4"/>
        <v>0</v>
      </c>
      <c r="DC5" s="129">
        <f t="shared" si="5"/>
        <v>0</v>
      </c>
      <c r="DD5" s="129">
        <f t="shared" si="6"/>
        <v>0</v>
      </c>
      <c r="DE5" s="129">
        <f t="shared" si="7"/>
        <v>0</v>
      </c>
      <c r="DF5" s="129">
        <f t="shared" si="8"/>
        <v>0</v>
      </c>
      <c r="DG5" s="129">
        <f t="shared" si="9"/>
        <v>0</v>
      </c>
      <c r="DH5" s="129">
        <f t="shared" si="10"/>
        <v>0</v>
      </c>
      <c r="DI5" s="139"/>
    </row>
    <row r="6" ht="22.5" customHeight="1">
      <c r="A6" s="140" t="str">
        <f t="shared" si="1"/>
        <v>|</v>
      </c>
      <c r="B6" s="141"/>
      <c r="C6" s="142"/>
      <c r="D6" s="143"/>
      <c r="E6" s="143"/>
      <c r="F6" s="143"/>
      <c r="G6" s="144"/>
      <c r="H6" s="144"/>
      <c r="I6" s="144"/>
      <c r="J6" s="145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L6" s="144"/>
      <c r="AM6" s="144"/>
      <c r="AN6" s="144"/>
      <c r="AO6" s="144"/>
      <c r="AP6" s="144"/>
      <c r="AQ6" s="144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4"/>
      <c r="BN6" s="144"/>
      <c r="BO6" s="144"/>
      <c r="BP6" s="144"/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44"/>
      <c r="CD6" s="144"/>
      <c r="CE6" s="144"/>
      <c r="CF6" s="144"/>
      <c r="CG6" s="144"/>
      <c r="CH6" s="144"/>
      <c r="CI6" s="144"/>
      <c r="CJ6" s="144"/>
      <c r="CK6" s="144"/>
      <c r="CL6" s="144"/>
      <c r="CM6" s="144"/>
      <c r="CN6" s="144"/>
      <c r="CO6" s="144"/>
      <c r="CP6" s="144"/>
      <c r="CQ6" s="144"/>
      <c r="CR6" s="144"/>
      <c r="CS6" s="144"/>
      <c r="CT6" s="144"/>
      <c r="CU6" s="144"/>
      <c r="CV6" s="144"/>
      <c r="CW6" s="144"/>
      <c r="CX6" s="145"/>
      <c r="CY6" s="139"/>
      <c r="CZ6" s="127">
        <f t="shared" si="2"/>
        <v>0</v>
      </c>
      <c r="DA6" s="129">
        <f t="shared" si="3"/>
        <v>0</v>
      </c>
      <c r="DB6" s="129">
        <f t="shared" si="4"/>
        <v>0</v>
      </c>
      <c r="DC6" s="129">
        <f t="shared" si="5"/>
        <v>0</v>
      </c>
      <c r="DD6" s="129">
        <f t="shared" si="6"/>
        <v>0</v>
      </c>
      <c r="DE6" s="129">
        <f t="shared" si="7"/>
        <v>0</v>
      </c>
      <c r="DF6" s="129">
        <f t="shared" si="8"/>
        <v>0</v>
      </c>
      <c r="DG6" s="129">
        <f t="shared" si="9"/>
        <v>0</v>
      </c>
      <c r="DH6" s="129">
        <f t="shared" si="10"/>
        <v>0</v>
      </c>
      <c r="DI6" s="139"/>
    </row>
    <row r="7" ht="22.5" customHeight="1">
      <c r="A7" s="140" t="str">
        <f t="shared" si="1"/>
        <v>|</v>
      </c>
      <c r="B7" s="141"/>
      <c r="C7" s="142"/>
      <c r="D7" s="143"/>
      <c r="E7" s="143"/>
      <c r="F7" s="143"/>
      <c r="G7" s="144"/>
      <c r="H7" s="144"/>
      <c r="I7" s="144"/>
      <c r="J7" s="145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  <c r="CD7" s="144"/>
      <c r="CE7" s="144"/>
      <c r="CF7" s="144"/>
      <c r="CG7" s="144"/>
      <c r="CH7" s="144"/>
      <c r="CI7" s="144"/>
      <c r="CJ7" s="144"/>
      <c r="CK7" s="144"/>
      <c r="CL7" s="144"/>
      <c r="CM7" s="144"/>
      <c r="CN7" s="144"/>
      <c r="CO7" s="144"/>
      <c r="CP7" s="144"/>
      <c r="CQ7" s="144"/>
      <c r="CR7" s="144"/>
      <c r="CS7" s="144"/>
      <c r="CT7" s="144"/>
      <c r="CU7" s="144"/>
      <c r="CV7" s="144"/>
      <c r="CW7" s="144"/>
      <c r="CX7" s="145"/>
      <c r="CY7" s="139"/>
      <c r="CZ7" s="127">
        <f t="shared" si="2"/>
        <v>0</v>
      </c>
      <c r="DA7" s="129">
        <f t="shared" si="3"/>
        <v>0</v>
      </c>
      <c r="DB7" s="129">
        <f t="shared" si="4"/>
        <v>0</v>
      </c>
      <c r="DC7" s="129">
        <f t="shared" si="5"/>
        <v>0</v>
      </c>
      <c r="DD7" s="129">
        <f t="shared" si="6"/>
        <v>0</v>
      </c>
      <c r="DE7" s="129">
        <f t="shared" si="7"/>
        <v>0</v>
      </c>
      <c r="DF7" s="129">
        <f t="shared" si="8"/>
        <v>0</v>
      </c>
      <c r="DG7" s="129">
        <f t="shared" si="9"/>
        <v>0</v>
      </c>
      <c r="DH7" s="129">
        <f t="shared" si="10"/>
        <v>0</v>
      </c>
      <c r="DI7" s="139"/>
    </row>
    <row r="8" ht="22.5" customHeight="1">
      <c r="A8" s="140" t="str">
        <f t="shared" si="1"/>
        <v>|</v>
      </c>
      <c r="B8" s="141"/>
      <c r="C8" s="142"/>
      <c r="D8" s="143"/>
      <c r="E8" s="143"/>
      <c r="F8" s="143"/>
      <c r="G8" s="144"/>
      <c r="H8" s="144"/>
      <c r="I8" s="144"/>
      <c r="J8" s="145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  <c r="CD8" s="144"/>
      <c r="CE8" s="144"/>
      <c r="CF8" s="144"/>
      <c r="CG8" s="144"/>
      <c r="CH8" s="144"/>
      <c r="CI8" s="144"/>
      <c r="CJ8" s="144"/>
      <c r="CK8" s="144"/>
      <c r="CL8" s="144"/>
      <c r="CM8" s="144"/>
      <c r="CN8" s="144"/>
      <c r="CO8" s="144"/>
      <c r="CP8" s="144"/>
      <c r="CQ8" s="144"/>
      <c r="CR8" s="144"/>
      <c r="CS8" s="144"/>
      <c r="CT8" s="144"/>
      <c r="CU8" s="144"/>
      <c r="CV8" s="144"/>
      <c r="CW8" s="144"/>
      <c r="CX8" s="145"/>
      <c r="CY8" s="139"/>
      <c r="CZ8" s="127">
        <f t="shared" si="2"/>
        <v>0</v>
      </c>
      <c r="DA8" s="129">
        <f t="shared" si="3"/>
        <v>0</v>
      </c>
      <c r="DB8" s="129">
        <f t="shared" si="4"/>
        <v>0</v>
      </c>
      <c r="DC8" s="129">
        <f t="shared" si="5"/>
        <v>0</v>
      </c>
      <c r="DD8" s="129">
        <f t="shared" si="6"/>
        <v>0</v>
      </c>
      <c r="DE8" s="129">
        <f t="shared" si="7"/>
        <v>0</v>
      </c>
      <c r="DF8" s="129">
        <f t="shared" si="8"/>
        <v>0</v>
      </c>
      <c r="DG8" s="129">
        <f t="shared" si="9"/>
        <v>0</v>
      </c>
      <c r="DH8" s="129">
        <f t="shared" si="10"/>
        <v>0</v>
      </c>
      <c r="DI8" s="139"/>
    </row>
    <row r="9" ht="22.5" customHeight="1">
      <c r="A9" s="140" t="str">
        <f t="shared" si="1"/>
        <v>|</v>
      </c>
      <c r="B9" s="141"/>
      <c r="C9" s="142"/>
      <c r="D9" s="143"/>
      <c r="E9" s="143"/>
      <c r="F9" s="143"/>
      <c r="G9" s="144"/>
      <c r="H9" s="144"/>
      <c r="I9" s="144"/>
      <c r="J9" s="145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  <c r="CD9" s="144"/>
      <c r="CE9" s="144"/>
      <c r="CF9" s="144"/>
      <c r="CG9" s="144"/>
      <c r="CH9" s="144"/>
      <c r="CI9" s="144"/>
      <c r="CJ9" s="144"/>
      <c r="CK9" s="144"/>
      <c r="CL9" s="144"/>
      <c r="CM9" s="144"/>
      <c r="CN9" s="144"/>
      <c r="CO9" s="144"/>
      <c r="CP9" s="144"/>
      <c r="CQ9" s="144"/>
      <c r="CR9" s="144"/>
      <c r="CS9" s="144"/>
      <c r="CT9" s="144"/>
      <c r="CU9" s="144"/>
      <c r="CV9" s="144"/>
      <c r="CW9" s="144"/>
      <c r="CX9" s="145"/>
      <c r="CY9" s="139"/>
      <c r="CZ9" s="127">
        <f t="shared" si="2"/>
        <v>0</v>
      </c>
      <c r="DA9" s="129">
        <f t="shared" si="3"/>
        <v>0</v>
      </c>
      <c r="DB9" s="129">
        <f t="shared" si="4"/>
        <v>0</v>
      </c>
      <c r="DC9" s="129">
        <f t="shared" si="5"/>
        <v>0</v>
      </c>
      <c r="DD9" s="129">
        <f t="shared" si="6"/>
        <v>0</v>
      </c>
      <c r="DE9" s="129">
        <f t="shared" si="7"/>
        <v>0</v>
      </c>
      <c r="DF9" s="129">
        <f t="shared" si="8"/>
        <v>0</v>
      </c>
      <c r="DG9" s="129">
        <f t="shared" si="9"/>
        <v>0</v>
      </c>
      <c r="DH9" s="129">
        <f t="shared" si="10"/>
        <v>0</v>
      </c>
      <c r="DI9" s="139"/>
    </row>
    <row r="10" ht="22.5" customHeight="1">
      <c r="A10" s="140" t="str">
        <f t="shared" si="1"/>
        <v>|</v>
      </c>
      <c r="B10" s="141"/>
      <c r="C10" s="142"/>
      <c r="D10" s="143"/>
      <c r="E10" s="143"/>
      <c r="F10" s="143"/>
      <c r="G10" s="144"/>
      <c r="H10" s="144"/>
      <c r="I10" s="144"/>
      <c r="J10" s="145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144"/>
      <c r="BE10" s="144"/>
      <c r="BF10" s="144"/>
      <c r="BG10" s="144"/>
      <c r="BH10" s="144"/>
      <c r="BI10" s="144"/>
      <c r="BJ10" s="144"/>
      <c r="BK10" s="144"/>
      <c r="BL10" s="144"/>
      <c r="BM10" s="144"/>
      <c r="BN10" s="144"/>
      <c r="BO10" s="144"/>
      <c r="BP10" s="144"/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  <c r="CD10" s="144"/>
      <c r="CE10" s="144"/>
      <c r="CF10" s="144"/>
      <c r="CG10" s="144"/>
      <c r="CH10" s="144"/>
      <c r="CI10" s="144"/>
      <c r="CJ10" s="144"/>
      <c r="CK10" s="144"/>
      <c r="CL10" s="144"/>
      <c r="CM10" s="144"/>
      <c r="CN10" s="144"/>
      <c r="CO10" s="144"/>
      <c r="CP10" s="144"/>
      <c r="CQ10" s="144"/>
      <c r="CR10" s="144"/>
      <c r="CS10" s="144"/>
      <c r="CT10" s="144"/>
      <c r="CU10" s="144"/>
      <c r="CV10" s="144"/>
      <c r="CW10" s="144"/>
      <c r="CX10" s="145"/>
      <c r="CY10" s="139"/>
      <c r="CZ10" s="127">
        <f t="shared" si="2"/>
        <v>0</v>
      </c>
      <c r="DA10" s="129">
        <f t="shared" si="3"/>
        <v>0</v>
      </c>
      <c r="DB10" s="129">
        <f t="shared" si="4"/>
        <v>0</v>
      </c>
      <c r="DC10" s="129">
        <f t="shared" si="5"/>
        <v>0</v>
      </c>
      <c r="DD10" s="129">
        <f t="shared" si="6"/>
        <v>0</v>
      </c>
      <c r="DE10" s="129">
        <f t="shared" si="7"/>
        <v>0</v>
      </c>
      <c r="DF10" s="129">
        <f t="shared" si="8"/>
        <v>0</v>
      </c>
      <c r="DG10" s="129">
        <f t="shared" si="9"/>
        <v>0</v>
      </c>
      <c r="DH10" s="129">
        <f t="shared" si="10"/>
        <v>0</v>
      </c>
      <c r="DI10" s="139"/>
    </row>
    <row r="11" ht="22.5" customHeight="1">
      <c r="A11" s="140" t="str">
        <f t="shared" si="1"/>
        <v>|</v>
      </c>
      <c r="B11" s="141"/>
      <c r="C11" s="142"/>
      <c r="D11" s="143"/>
      <c r="E11" s="143"/>
      <c r="F11" s="143"/>
      <c r="G11" s="144"/>
      <c r="H11" s="144"/>
      <c r="I11" s="144"/>
      <c r="J11" s="145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  <c r="CD11" s="144"/>
      <c r="CE11" s="144"/>
      <c r="CF11" s="144"/>
      <c r="CG11" s="144"/>
      <c r="CH11" s="144"/>
      <c r="CI11" s="144"/>
      <c r="CJ11" s="144"/>
      <c r="CK11" s="144"/>
      <c r="CL11" s="144"/>
      <c r="CM11" s="144"/>
      <c r="CN11" s="144"/>
      <c r="CO11" s="144"/>
      <c r="CP11" s="144"/>
      <c r="CQ11" s="144"/>
      <c r="CR11" s="144"/>
      <c r="CS11" s="144"/>
      <c r="CT11" s="144"/>
      <c r="CU11" s="144"/>
      <c r="CV11" s="144"/>
      <c r="CW11" s="144"/>
      <c r="CX11" s="145"/>
      <c r="CY11" s="139"/>
      <c r="CZ11" s="127">
        <f t="shared" si="2"/>
        <v>0</v>
      </c>
      <c r="DA11" s="129">
        <f t="shared" si="3"/>
        <v>0</v>
      </c>
      <c r="DB11" s="129">
        <f t="shared" si="4"/>
        <v>0</v>
      </c>
      <c r="DC11" s="129">
        <f t="shared" si="5"/>
        <v>0</v>
      </c>
      <c r="DD11" s="129">
        <f t="shared" si="6"/>
        <v>0</v>
      </c>
      <c r="DE11" s="129">
        <f t="shared" si="7"/>
        <v>0</v>
      </c>
      <c r="DF11" s="129">
        <f t="shared" si="8"/>
        <v>0</v>
      </c>
      <c r="DG11" s="129">
        <f t="shared" si="9"/>
        <v>0</v>
      </c>
      <c r="DH11" s="129">
        <f t="shared" si="10"/>
        <v>0</v>
      </c>
      <c r="DI11" s="139"/>
    </row>
    <row r="12" ht="22.5" customHeight="1">
      <c r="A12" s="140" t="str">
        <f t="shared" si="1"/>
        <v>|</v>
      </c>
      <c r="B12" s="141"/>
      <c r="C12" s="142"/>
      <c r="D12" s="143"/>
      <c r="E12" s="143"/>
      <c r="F12" s="143"/>
      <c r="G12" s="144"/>
      <c r="H12" s="144"/>
      <c r="I12" s="144"/>
      <c r="J12" s="145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M12" s="144"/>
      <c r="AN12" s="144"/>
      <c r="AO12" s="144"/>
      <c r="AP12" s="144"/>
      <c r="AQ12" s="144"/>
      <c r="AR12" s="144"/>
      <c r="AS12" s="144"/>
      <c r="AT12" s="144"/>
      <c r="AU12" s="144"/>
      <c r="AV12" s="144"/>
      <c r="AW12" s="144"/>
      <c r="AX12" s="144"/>
      <c r="AY12" s="144"/>
      <c r="AZ12" s="144"/>
      <c r="BA12" s="144"/>
      <c r="BB12" s="144"/>
      <c r="BC12" s="144"/>
      <c r="BD12" s="144"/>
      <c r="BE12" s="144"/>
      <c r="BF12" s="144"/>
      <c r="BG12" s="144"/>
      <c r="BH12" s="144"/>
      <c r="BI12" s="144"/>
      <c r="BJ12" s="144"/>
      <c r="BK12" s="144"/>
      <c r="BL12" s="144"/>
      <c r="BM12" s="144"/>
      <c r="BN12" s="144"/>
      <c r="BO12" s="144"/>
      <c r="BP12" s="144"/>
      <c r="BQ12" s="144"/>
      <c r="BR12" s="144"/>
      <c r="BS12" s="144"/>
      <c r="BT12" s="144"/>
      <c r="BU12" s="144"/>
      <c r="BV12" s="144"/>
      <c r="BW12" s="144"/>
      <c r="BX12" s="144"/>
      <c r="BY12" s="144"/>
      <c r="BZ12" s="144"/>
      <c r="CA12" s="144"/>
      <c r="CB12" s="144"/>
      <c r="CC12" s="144"/>
      <c r="CD12" s="144"/>
      <c r="CE12" s="144"/>
      <c r="CF12" s="144"/>
      <c r="CG12" s="144"/>
      <c r="CH12" s="144"/>
      <c r="CI12" s="144"/>
      <c r="CJ12" s="144"/>
      <c r="CK12" s="144"/>
      <c r="CL12" s="144"/>
      <c r="CM12" s="144"/>
      <c r="CN12" s="144"/>
      <c r="CO12" s="144"/>
      <c r="CP12" s="144"/>
      <c r="CQ12" s="144"/>
      <c r="CR12" s="144"/>
      <c r="CS12" s="144"/>
      <c r="CT12" s="144"/>
      <c r="CU12" s="144"/>
      <c r="CV12" s="144"/>
      <c r="CW12" s="144"/>
      <c r="CX12" s="145"/>
      <c r="CY12" s="139"/>
      <c r="CZ12" s="127">
        <f t="shared" si="2"/>
        <v>0</v>
      </c>
      <c r="DA12" s="129">
        <f t="shared" si="3"/>
        <v>0</v>
      </c>
      <c r="DB12" s="129">
        <f t="shared" si="4"/>
        <v>0</v>
      </c>
      <c r="DC12" s="129">
        <f t="shared" si="5"/>
        <v>0</v>
      </c>
      <c r="DD12" s="129">
        <f t="shared" si="6"/>
        <v>0</v>
      </c>
      <c r="DE12" s="129">
        <f t="shared" si="7"/>
        <v>0</v>
      </c>
      <c r="DF12" s="129">
        <f t="shared" si="8"/>
        <v>0</v>
      </c>
      <c r="DG12" s="129">
        <f t="shared" si="9"/>
        <v>0</v>
      </c>
      <c r="DH12" s="129">
        <f t="shared" si="10"/>
        <v>0</v>
      </c>
      <c r="DI12" s="139"/>
    </row>
    <row r="13" ht="22.5" customHeight="1">
      <c r="A13" s="140" t="str">
        <f t="shared" si="1"/>
        <v>|</v>
      </c>
      <c r="B13" s="141"/>
      <c r="C13" s="142"/>
      <c r="D13" s="143"/>
      <c r="E13" s="143"/>
      <c r="F13" s="143"/>
      <c r="G13" s="144"/>
      <c r="H13" s="144"/>
      <c r="I13" s="144"/>
      <c r="J13" s="145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M13" s="144"/>
      <c r="AN13" s="144"/>
      <c r="AO13" s="144"/>
      <c r="AP13" s="144"/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44"/>
      <c r="BH13" s="144"/>
      <c r="BI13" s="144"/>
      <c r="BJ13" s="144"/>
      <c r="BK13" s="144"/>
      <c r="BL13" s="144"/>
      <c r="BM13" s="144"/>
      <c r="BN13" s="144"/>
      <c r="BO13" s="144"/>
      <c r="BP13" s="144"/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44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5"/>
      <c r="CY13" s="139"/>
      <c r="CZ13" s="127">
        <f t="shared" si="2"/>
        <v>0</v>
      </c>
      <c r="DA13" s="129">
        <f t="shared" si="3"/>
        <v>0</v>
      </c>
      <c r="DB13" s="129">
        <f t="shared" si="4"/>
        <v>0</v>
      </c>
      <c r="DC13" s="129">
        <f t="shared" si="5"/>
        <v>0</v>
      </c>
      <c r="DD13" s="129">
        <f t="shared" si="6"/>
        <v>0</v>
      </c>
      <c r="DE13" s="129">
        <f t="shared" si="7"/>
        <v>0</v>
      </c>
      <c r="DF13" s="129">
        <f t="shared" si="8"/>
        <v>0</v>
      </c>
      <c r="DG13" s="129">
        <f t="shared" si="9"/>
        <v>0</v>
      </c>
      <c r="DH13" s="129">
        <f t="shared" si="10"/>
        <v>0</v>
      </c>
      <c r="DI13" s="139"/>
    </row>
    <row r="14" ht="22.5" customHeight="1">
      <c r="A14" s="140" t="str">
        <f t="shared" si="1"/>
        <v>|</v>
      </c>
      <c r="B14" s="141"/>
      <c r="C14" s="142"/>
      <c r="D14" s="143"/>
      <c r="E14" s="143"/>
      <c r="F14" s="143"/>
      <c r="G14" s="144"/>
      <c r="H14" s="144"/>
      <c r="I14" s="144"/>
      <c r="J14" s="145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44"/>
      <c r="BH14" s="144"/>
      <c r="BI14" s="144"/>
      <c r="BJ14" s="144"/>
      <c r="BK14" s="144"/>
      <c r="BL14" s="144"/>
      <c r="BM14" s="144"/>
      <c r="BN14" s="144"/>
      <c r="BO14" s="144"/>
      <c r="BP14" s="144"/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144"/>
      <c r="CC14" s="144"/>
      <c r="CD14" s="144"/>
      <c r="CE14" s="144"/>
      <c r="CF14" s="144"/>
      <c r="CG14" s="144"/>
      <c r="CH14" s="144"/>
      <c r="CI14" s="144"/>
      <c r="CJ14" s="144"/>
      <c r="CK14" s="144"/>
      <c r="CL14" s="144"/>
      <c r="CM14" s="144"/>
      <c r="CN14" s="144"/>
      <c r="CO14" s="144"/>
      <c r="CP14" s="144"/>
      <c r="CQ14" s="144"/>
      <c r="CR14" s="144"/>
      <c r="CS14" s="144"/>
      <c r="CT14" s="144"/>
      <c r="CU14" s="144"/>
      <c r="CV14" s="144"/>
      <c r="CW14" s="144"/>
      <c r="CX14" s="145"/>
      <c r="CY14" s="139"/>
      <c r="CZ14" s="127">
        <f t="shared" si="2"/>
        <v>0</v>
      </c>
      <c r="DA14" s="129">
        <f t="shared" si="3"/>
        <v>0</v>
      </c>
      <c r="DB14" s="129">
        <f t="shared" si="4"/>
        <v>0</v>
      </c>
      <c r="DC14" s="129">
        <f t="shared" si="5"/>
        <v>0</v>
      </c>
      <c r="DD14" s="129">
        <f t="shared" si="6"/>
        <v>0</v>
      </c>
      <c r="DE14" s="129">
        <f t="shared" si="7"/>
        <v>0</v>
      </c>
      <c r="DF14" s="129">
        <f t="shared" si="8"/>
        <v>0</v>
      </c>
      <c r="DG14" s="129">
        <f t="shared" si="9"/>
        <v>0</v>
      </c>
      <c r="DH14" s="129">
        <f t="shared" si="10"/>
        <v>0</v>
      </c>
      <c r="DI14" s="139"/>
    </row>
    <row r="15" ht="22.5" customHeight="1">
      <c r="A15" s="140" t="str">
        <f t="shared" si="1"/>
        <v>|</v>
      </c>
      <c r="B15" s="141"/>
      <c r="C15" s="142"/>
      <c r="D15" s="143"/>
      <c r="E15" s="143"/>
      <c r="F15" s="143"/>
      <c r="G15" s="144"/>
      <c r="H15" s="144"/>
      <c r="I15" s="144"/>
      <c r="J15" s="145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5"/>
      <c r="CY15" s="139"/>
      <c r="CZ15" s="127">
        <f t="shared" si="2"/>
        <v>0</v>
      </c>
      <c r="DA15" s="129">
        <f t="shared" si="3"/>
        <v>0</v>
      </c>
      <c r="DB15" s="129">
        <f t="shared" si="4"/>
        <v>0</v>
      </c>
      <c r="DC15" s="129">
        <f t="shared" si="5"/>
        <v>0</v>
      </c>
      <c r="DD15" s="129">
        <f t="shared" si="6"/>
        <v>0</v>
      </c>
      <c r="DE15" s="129">
        <f t="shared" si="7"/>
        <v>0</v>
      </c>
      <c r="DF15" s="129">
        <f t="shared" si="8"/>
        <v>0</v>
      </c>
      <c r="DG15" s="129">
        <f t="shared" si="9"/>
        <v>0</v>
      </c>
      <c r="DH15" s="129">
        <f t="shared" si="10"/>
        <v>0</v>
      </c>
      <c r="DI15" s="139"/>
    </row>
    <row r="16" ht="22.5" customHeight="1">
      <c r="A16" s="140" t="str">
        <f t="shared" si="1"/>
        <v>|</v>
      </c>
      <c r="B16" s="141"/>
      <c r="C16" s="142"/>
      <c r="D16" s="143"/>
      <c r="E16" s="143"/>
      <c r="F16" s="143"/>
      <c r="G16" s="144"/>
      <c r="H16" s="144"/>
      <c r="I16" s="144"/>
      <c r="J16" s="145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4"/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144"/>
      <c r="BH16" s="144"/>
      <c r="BI16" s="144"/>
      <c r="BJ16" s="144"/>
      <c r="BK16" s="144"/>
      <c r="BL16" s="144"/>
      <c r="BM16" s="144"/>
      <c r="BN16" s="144"/>
      <c r="BO16" s="144"/>
      <c r="BP16" s="144"/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4"/>
      <c r="CC16" s="144"/>
      <c r="CD16" s="144"/>
      <c r="CE16" s="144"/>
      <c r="CF16" s="144"/>
      <c r="CG16" s="144"/>
      <c r="CH16" s="144"/>
      <c r="CI16" s="144"/>
      <c r="CJ16" s="144"/>
      <c r="CK16" s="144"/>
      <c r="CL16" s="144"/>
      <c r="CM16" s="144"/>
      <c r="CN16" s="144"/>
      <c r="CO16" s="144"/>
      <c r="CP16" s="144"/>
      <c r="CQ16" s="144"/>
      <c r="CR16" s="144"/>
      <c r="CS16" s="144"/>
      <c r="CT16" s="144"/>
      <c r="CU16" s="144"/>
      <c r="CV16" s="144"/>
      <c r="CW16" s="144"/>
      <c r="CX16" s="145"/>
      <c r="CY16" s="139"/>
      <c r="CZ16" s="127">
        <f t="shared" si="2"/>
        <v>0</v>
      </c>
      <c r="DA16" s="129">
        <f t="shared" si="3"/>
        <v>0</v>
      </c>
      <c r="DB16" s="129">
        <f t="shared" si="4"/>
        <v>0</v>
      </c>
      <c r="DC16" s="129">
        <f t="shared" si="5"/>
        <v>0</v>
      </c>
      <c r="DD16" s="129">
        <f t="shared" si="6"/>
        <v>0</v>
      </c>
      <c r="DE16" s="129">
        <f t="shared" si="7"/>
        <v>0</v>
      </c>
      <c r="DF16" s="129">
        <f t="shared" si="8"/>
        <v>0</v>
      </c>
      <c r="DG16" s="129">
        <f t="shared" si="9"/>
        <v>0</v>
      </c>
      <c r="DH16" s="129">
        <f t="shared" si="10"/>
        <v>0</v>
      </c>
      <c r="DI16" s="139"/>
    </row>
    <row r="17" ht="22.5" customHeight="1">
      <c r="A17" s="140" t="str">
        <f t="shared" si="1"/>
        <v>|</v>
      </c>
      <c r="B17" s="141"/>
      <c r="C17" s="142"/>
      <c r="D17" s="143"/>
      <c r="E17" s="143"/>
      <c r="F17" s="143"/>
      <c r="G17" s="144"/>
      <c r="H17" s="144"/>
      <c r="I17" s="144"/>
      <c r="J17" s="145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  <c r="AK17" s="144"/>
      <c r="AL17" s="144"/>
      <c r="AM17" s="144"/>
      <c r="AN17" s="144"/>
      <c r="AO17" s="144"/>
      <c r="AP17" s="144"/>
      <c r="AQ17" s="144"/>
      <c r="AR17" s="144"/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144"/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  <c r="CD17" s="144"/>
      <c r="CE17" s="144"/>
      <c r="CF17" s="144"/>
      <c r="CG17" s="144"/>
      <c r="CH17" s="144"/>
      <c r="CI17" s="144"/>
      <c r="CJ17" s="144"/>
      <c r="CK17" s="144"/>
      <c r="CL17" s="144"/>
      <c r="CM17" s="144"/>
      <c r="CN17" s="144"/>
      <c r="CO17" s="144"/>
      <c r="CP17" s="144"/>
      <c r="CQ17" s="144"/>
      <c r="CR17" s="144"/>
      <c r="CS17" s="144"/>
      <c r="CT17" s="144"/>
      <c r="CU17" s="144"/>
      <c r="CV17" s="144"/>
      <c r="CW17" s="144"/>
      <c r="CX17" s="145"/>
      <c r="CY17" s="139"/>
      <c r="CZ17" s="127">
        <f t="shared" si="2"/>
        <v>0</v>
      </c>
      <c r="DA17" s="129">
        <f t="shared" si="3"/>
        <v>0</v>
      </c>
      <c r="DB17" s="129">
        <f t="shared" si="4"/>
        <v>0</v>
      </c>
      <c r="DC17" s="129">
        <f t="shared" si="5"/>
        <v>0</v>
      </c>
      <c r="DD17" s="129">
        <f t="shared" si="6"/>
        <v>0</v>
      </c>
      <c r="DE17" s="129">
        <f t="shared" si="7"/>
        <v>0</v>
      </c>
      <c r="DF17" s="129">
        <f t="shared" si="8"/>
        <v>0</v>
      </c>
      <c r="DG17" s="129">
        <f t="shared" si="9"/>
        <v>0</v>
      </c>
      <c r="DH17" s="129">
        <f t="shared" si="10"/>
        <v>0</v>
      </c>
      <c r="DI17" s="139"/>
    </row>
    <row r="18" ht="22.5" customHeight="1">
      <c r="A18" s="140" t="str">
        <f t="shared" si="1"/>
        <v>|</v>
      </c>
      <c r="B18" s="141"/>
      <c r="C18" s="142"/>
      <c r="D18" s="143"/>
      <c r="E18" s="143"/>
      <c r="F18" s="143"/>
      <c r="G18" s="144"/>
      <c r="H18" s="144"/>
      <c r="I18" s="144"/>
      <c r="J18" s="145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4"/>
      <c r="AM18" s="144"/>
      <c r="AN18" s="144"/>
      <c r="AO18" s="144"/>
      <c r="AP18" s="144"/>
      <c r="AQ18" s="144"/>
      <c r="AR18" s="144"/>
      <c r="AS18" s="144"/>
      <c r="AT18" s="144"/>
      <c r="AU18" s="144"/>
      <c r="AV18" s="144"/>
      <c r="AW18" s="144"/>
      <c r="AX18" s="144"/>
      <c r="AY18" s="144"/>
      <c r="AZ18" s="144"/>
      <c r="BA18" s="144"/>
      <c r="BB18" s="144"/>
      <c r="BC18" s="144"/>
      <c r="BD18" s="144"/>
      <c r="BE18" s="144"/>
      <c r="BF18" s="144"/>
      <c r="BG18" s="144"/>
      <c r="BH18" s="144"/>
      <c r="BI18" s="144"/>
      <c r="BJ18" s="144"/>
      <c r="BK18" s="144"/>
      <c r="BL18" s="144"/>
      <c r="BM18" s="144"/>
      <c r="BN18" s="144"/>
      <c r="BO18" s="144"/>
      <c r="BP18" s="144"/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44"/>
      <c r="CC18" s="144"/>
      <c r="CD18" s="144"/>
      <c r="CE18" s="144"/>
      <c r="CF18" s="144"/>
      <c r="CG18" s="144"/>
      <c r="CH18" s="144"/>
      <c r="CI18" s="144"/>
      <c r="CJ18" s="144"/>
      <c r="CK18" s="144"/>
      <c r="CL18" s="144"/>
      <c r="CM18" s="144"/>
      <c r="CN18" s="144"/>
      <c r="CO18" s="144"/>
      <c r="CP18" s="144"/>
      <c r="CQ18" s="144"/>
      <c r="CR18" s="144"/>
      <c r="CS18" s="144"/>
      <c r="CT18" s="144"/>
      <c r="CU18" s="144"/>
      <c r="CV18" s="144"/>
      <c r="CW18" s="144"/>
      <c r="CX18" s="145"/>
      <c r="CY18" s="139"/>
      <c r="CZ18" s="127">
        <f t="shared" si="2"/>
        <v>0</v>
      </c>
      <c r="DA18" s="129">
        <f t="shared" si="3"/>
        <v>0</v>
      </c>
      <c r="DB18" s="129">
        <f t="shared" si="4"/>
        <v>0</v>
      </c>
      <c r="DC18" s="129">
        <f t="shared" si="5"/>
        <v>0</v>
      </c>
      <c r="DD18" s="129">
        <f t="shared" si="6"/>
        <v>0</v>
      </c>
      <c r="DE18" s="129">
        <f t="shared" si="7"/>
        <v>0</v>
      </c>
      <c r="DF18" s="129">
        <f t="shared" si="8"/>
        <v>0</v>
      </c>
      <c r="DG18" s="129">
        <f t="shared" si="9"/>
        <v>0</v>
      </c>
      <c r="DH18" s="129">
        <f t="shared" si="10"/>
        <v>0</v>
      </c>
      <c r="DI18" s="139"/>
    </row>
    <row r="19" ht="22.5" customHeight="1">
      <c r="A19" s="140" t="str">
        <f t="shared" si="1"/>
        <v>|</v>
      </c>
      <c r="B19" s="141"/>
      <c r="C19" s="142"/>
      <c r="D19" s="143"/>
      <c r="E19" s="143"/>
      <c r="F19" s="143"/>
      <c r="G19" s="144"/>
      <c r="H19" s="144"/>
      <c r="I19" s="144"/>
      <c r="J19" s="145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4"/>
      <c r="AM19" s="144"/>
      <c r="AN19" s="144"/>
      <c r="AO19" s="144"/>
      <c r="AP19" s="144"/>
      <c r="AQ19" s="144"/>
      <c r="AR19" s="144"/>
      <c r="AS19" s="144"/>
      <c r="AT19" s="144"/>
      <c r="AU19" s="144"/>
      <c r="AV19" s="144"/>
      <c r="AW19" s="144"/>
      <c r="AX19" s="144"/>
      <c r="AY19" s="144"/>
      <c r="AZ19" s="144"/>
      <c r="BA19" s="144"/>
      <c r="BB19" s="144"/>
      <c r="BC19" s="144"/>
      <c r="BD19" s="144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44"/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44"/>
      <c r="CC19" s="144"/>
      <c r="CD19" s="144"/>
      <c r="CE19" s="144"/>
      <c r="CF19" s="144"/>
      <c r="CG19" s="144"/>
      <c r="CH19" s="144"/>
      <c r="CI19" s="144"/>
      <c r="CJ19" s="144"/>
      <c r="CK19" s="144"/>
      <c r="CL19" s="144"/>
      <c r="CM19" s="144"/>
      <c r="CN19" s="144"/>
      <c r="CO19" s="144"/>
      <c r="CP19" s="144"/>
      <c r="CQ19" s="144"/>
      <c r="CR19" s="144"/>
      <c r="CS19" s="144"/>
      <c r="CT19" s="144"/>
      <c r="CU19" s="144"/>
      <c r="CV19" s="144"/>
      <c r="CW19" s="144"/>
      <c r="CX19" s="145"/>
      <c r="CY19" s="139"/>
      <c r="CZ19" s="127">
        <f t="shared" si="2"/>
        <v>0</v>
      </c>
      <c r="DA19" s="129">
        <f t="shared" si="3"/>
        <v>0</v>
      </c>
      <c r="DB19" s="129">
        <f t="shared" si="4"/>
        <v>0</v>
      </c>
      <c r="DC19" s="129">
        <f t="shared" si="5"/>
        <v>0</v>
      </c>
      <c r="DD19" s="129">
        <f t="shared" si="6"/>
        <v>0</v>
      </c>
      <c r="DE19" s="129">
        <f t="shared" si="7"/>
        <v>0</v>
      </c>
      <c r="DF19" s="129">
        <f t="shared" si="8"/>
        <v>0</v>
      </c>
      <c r="DG19" s="129">
        <f t="shared" si="9"/>
        <v>0</v>
      </c>
      <c r="DH19" s="129">
        <f t="shared" si="10"/>
        <v>0</v>
      </c>
      <c r="DI19" s="139"/>
    </row>
    <row r="20" ht="22.5" customHeight="1">
      <c r="A20" s="140" t="str">
        <f t="shared" si="1"/>
        <v>|</v>
      </c>
      <c r="B20" s="141"/>
      <c r="C20" s="142"/>
      <c r="D20" s="143"/>
      <c r="E20" s="143"/>
      <c r="F20" s="143"/>
      <c r="G20" s="144"/>
      <c r="H20" s="144"/>
      <c r="I20" s="144"/>
      <c r="J20" s="145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  <c r="AK20" s="144"/>
      <c r="AL20" s="144"/>
      <c r="AM20" s="144"/>
      <c r="AN20" s="144"/>
      <c r="AO20" s="144"/>
      <c r="AP20" s="144"/>
      <c r="AQ20" s="144"/>
      <c r="AR20" s="144"/>
      <c r="AS20" s="144"/>
      <c r="AT20" s="144"/>
      <c r="AU20" s="144"/>
      <c r="AV20" s="144"/>
      <c r="AW20" s="144"/>
      <c r="AX20" s="144"/>
      <c r="AY20" s="144"/>
      <c r="AZ20" s="144"/>
      <c r="BA20" s="144"/>
      <c r="BB20" s="144"/>
      <c r="BC20" s="144"/>
      <c r="BD20" s="144"/>
      <c r="BE20" s="144"/>
      <c r="BF20" s="144"/>
      <c r="BG20" s="144"/>
      <c r="BH20" s="144"/>
      <c r="BI20" s="144"/>
      <c r="BJ20" s="144"/>
      <c r="BK20" s="144"/>
      <c r="BL20" s="144"/>
      <c r="BM20" s="144"/>
      <c r="BN20" s="144"/>
      <c r="BO20" s="144"/>
      <c r="BP20" s="144"/>
      <c r="BQ20" s="144"/>
      <c r="BR20" s="144"/>
      <c r="BS20" s="144"/>
      <c r="BT20" s="144"/>
      <c r="BU20" s="144"/>
      <c r="BV20" s="144"/>
      <c r="BW20" s="144"/>
      <c r="BX20" s="144"/>
      <c r="BY20" s="144"/>
      <c r="BZ20" s="144"/>
      <c r="CA20" s="144"/>
      <c r="CB20" s="144"/>
      <c r="CC20" s="144"/>
      <c r="CD20" s="144"/>
      <c r="CE20" s="144"/>
      <c r="CF20" s="144"/>
      <c r="CG20" s="144"/>
      <c r="CH20" s="144"/>
      <c r="CI20" s="144"/>
      <c r="CJ20" s="144"/>
      <c r="CK20" s="144"/>
      <c r="CL20" s="144"/>
      <c r="CM20" s="144"/>
      <c r="CN20" s="144"/>
      <c r="CO20" s="144"/>
      <c r="CP20" s="144"/>
      <c r="CQ20" s="144"/>
      <c r="CR20" s="144"/>
      <c r="CS20" s="144"/>
      <c r="CT20" s="144"/>
      <c r="CU20" s="144"/>
      <c r="CV20" s="144"/>
      <c r="CW20" s="144"/>
      <c r="CX20" s="145"/>
      <c r="CY20" s="139"/>
      <c r="CZ20" s="127">
        <f t="shared" si="2"/>
        <v>0</v>
      </c>
      <c r="DA20" s="129">
        <f t="shared" si="3"/>
        <v>0</v>
      </c>
      <c r="DB20" s="129">
        <f t="shared" si="4"/>
        <v>0</v>
      </c>
      <c r="DC20" s="129">
        <f t="shared" si="5"/>
        <v>0</v>
      </c>
      <c r="DD20" s="129">
        <f t="shared" si="6"/>
        <v>0</v>
      </c>
      <c r="DE20" s="129">
        <f t="shared" si="7"/>
        <v>0</v>
      </c>
      <c r="DF20" s="129">
        <f t="shared" si="8"/>
        <v>0</v>
      </c>
      <c r="DG20" s="129">
        <f t="shared" si="9"/>
        <v>0</v>
      </c>
      <c r="DH20" s="129">
        <f t="shared" si="10"/>
        <v>0</v>
      </c>
      <c r="DI20" s="139"/>
    </row>
    <row r="21" ht="22.5" customHeight="1">
      <c r="A21" s="140" t="str">
        <f t="shared" si="1"/>
        <v>|</v>
      </c>
      <c r="B21" s="141"/>
      <c r="C21" s="142"/>
      <c r="D21" s="143"/>
      <c r="E21" s="143"/>
      <c r="F21" s="143"/>
      <c r="G21" s="144"/>
      <c r="H21" s="144"/>
      <c r="I21" s="144"/>
      <c r="J21" s="145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4"/>
      <c r="AM21" s="144"/>
      <c r="AN21" s="144"/>
      <c r="AO21" s="144"/>
      <c r="AP21" s="144"/>
      <c r="AQ21" s="144"/>
      <c r="AR21" s="144"/>
      <c r="AS21" s="144"/>
      <c r="AT21" s="144"/>
      <c r="AU21" s="144"/>
      <c r="AV21" s="144"/>
      <c r="AW21" s="144"/>
      <c r="AX21" s="144"/>
      <c r="AY21" s="144"/>
      <c r="AZ21" s="144"/>
      <c r="BA21" s="144"/>
      <c r="BB21" s="144"/>
      <c r="BC21" s="144"/>
      <c r="BD21" s="144"/>
      <c r="BE21" s="144"/>
      <c r="BF21" s="144"/>
      <c r="BG21" s="144"/>
      <c r="BH21" s="144"/>
      <c r="BI21" s="144"/>
      <c r="BJ21" s="144"/>
      <c r="BK21" s="144"/>
      <c r="BL21" s="144"/>
      <c r="BM21" s="144"/>
      <c r="BN21" s="144"/>
      <c r="BO21" s="144"/>
      <c r="BP21" s="144"/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144"/>
      <c r="CC21" s="144"/>
      <c r="CD21" s="144"/>
      <c r="CE21" s="144"/>
      <c r="CF21" s="144"/>
      <c r="CG21" s="144"/>
      <c r="CH21" s="144"/>
      <c r="CI21" s="144"/>
      <c r="CJ21" s="144"/>
      <c r="CK21" s="144"/>
      <c r="CL21" s="144"/>
      <c r="CM21" s="144"/>
      <c r="CN21" s="144"/>
      <c r="CO21" s="144"/>
      <c r="CP21" s="144"/>
      <c r="CQ21" s="144"/>
      <c r="CR21" s="144"/>
      <c r="CS21" s="144"/>
      <c r="CT21" s="144"/>
      <c r="CU21" s="144"/>
      <c r="CV21" s="144"/>
      <c r="CW21" s="144"/>
      <c r="CX21" s="145"/>
      <c r="CY21" s="139"/>
      <c r="CZ21" s="127">
        <f t="shared" si="2"/>
        <v>0</v>
      </c>
      <c r="DA21" s="129">
        <f t="shared" si="3"/>
        <v>0</v>
      </c>
      <c r="DB21" s="129">
        <f t="shared" si="4"/>
        <v>0</v>
      </c>
      <c r="DC21" s="129">
        <f t="shared" si="5"/>
        <v>0</v>
      </c>
      <c r="DD21" s="129">
        <f t="shared" si="6"/>
        <v>0</v>
      </c>
      <c r="DE21" s="129">
        <f t="shared" si="7"/>
        <v>0</v>
      </c>
      <c r="DF21" s="129">
        <f t="shared" si="8"/>
        <v>0</v>
      </c>
      <c r="DG21" s="129">
        <f t="shared" si="9"/>
        <v>0</v>
      </c>
      <c r="DH21" s="129">
        <f t="shared" si="10"/>
        <v>0</v>
      </c>
      <c r="DI21" s="139"/>
    </row>
    <row r="22" ht="22.5" customHeight="1">
      <c r="A22" s="140" t="str">
        <f t="shared" si="1"/>
        <v>|</v>
      </c>
      <c r="B22" s="141"/>
      <c r="C22" s="142"/>
      <c r="D22" s="143"/>
      <c r="E22" s="143"/>
      <c r="F22" s="143"/>
      <c r="G22" s="144"/>
      <c r="H22" s="144"/>
      <c r="I22" s="144"/>
      <c r="J22" s="145"/>
      <c r="K22" s="144"/>
      <c r="L22" s="144"/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144"/>
      <c r="BE22" s="144"/>
      <c r="BF22" s="144"/>
      <c r="BG22" s="144"/>
      <c r="BH22" s="144"/>
      <c r="BI22" s="144"/>
      <c r="BJ22" s="144"/>
      <c r="BK22" s="144"/>
      <c r="BL22" s="144"/>
      <c r="BM22" s="144"/>
      <c r="BN22" s="144"/>
      <c r="BO22" s="144"/>
      <c r="BP22" s="144"/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144"/>
      <c r="CC22" s="144"/>
      <c r="CD22" s="144"/>
      <c r="CE22" s="144"/>
      <c r="CF22" s="144"/>
      <c r="CG22" s="144"/>
      <c r="CH22" s="144"/>
      <c r="CI22" s="144"/>
      <c r="CJ22" s="144"/>
      <c r="CK22" s="144"/>
      <c r="CL22" s="144"/>
      <c r="CM22" s="144"/>
      <c r="CN22" s="144"/>
      <c r="CO22" s="144"/>
      <c r="CP22" s="144"/>
      <c r="CQ22" s="144"/>
      <c r="CR22" s="144"/>
      <c r="CS22" s="144"/>
      <c r="CT22" s="144"/>
      <c r="CU22" s="144"/>
      <c r="CV22" s="144"/>
      <c r="CW22" s="144"/>
      <c r="CX22" s="145"/>
      <c r="CY22" s="139"/>
      <c r="CZ22" s="127">
        <f t="shared" si="2"/>
        <v>0</v>
      </c>
      <c r="DA22" s="129">
        <f t="shared" si="3"/>
        <v>0</v>
      </c>
      <c r="DB22" s="129">
        <f t="shared" si="4"/>
        <v>0</v>
      </c>
      <c r="DC22" s="129">
        <f t="shared" si="5"/>
        <v>0</v>
      </c>
      <c r="DD22" s="129">
        <f t="shared" si="6"/>
        <v>0</v>
      </c>
      <c r="DE22" s="129">
        <f t="shared" si="7"/>
        <v>0</v>
      </c>
      <c r="DF22" s="129">
        <f t="shared" si="8"/>
        <v>0</v>
      </c>
      <c r="DG22" s="129">
        <f t="shared" si="9"/>
        <v>0</v>
      </c>
      <c r="DH22" s="129">
        <f t="shared" si="10"/>
        <v>0</v>
      </c>
      <c r="DI22" s="139"/>
    </row>
    <row r="23" ht="22.5" customHeight="1">
      <c r="A23" s="140" t="str">
        <f t="shared" si="1"/>
        <v>|</v>
      </c>
      <c r="B23" s="141"/>
      <c r="C23" s="142"/>
      <c r="D23" s="143"/>
      <c r="E23" s="143"/>
      <c r="F23" s="143"/>
      <c r="G23" s="144"/>
      <c r="H23" s="144"/>
      <c r="I23" s="144"/>
      <c r="J23" s="145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4"/>
      <c r="AM23" s="144"/>
      <c r="AN23" s="144"/>
      <c r="AO23" s="144"/>
      <c r="AP23" s="144"/>
      <c r="AQ23" s="144"/>
      <c r="AR23" s="144"/>
      <c r="AS23" s="144"/>
      <c r="AT23" s="144"/>
      <c r="AU23" s="144"/>
      <c r="AV23" s="144"/>
      <c r="AW23" s="144"/>
      <c r="AX23" s="144"/>
      <c r="AY23" s="144"/>
      <c r="AZ23" s="144"/>
      <c r="BA23" s="144"/>
      <c r="BB23" s="144"/>
      <c r="BC23" s="144"/>
      <c r="BD23" s="144"/>
      <c r="BE23" s="144"/>
      <c r="BF23" s="144"/>
      <c r="BG23" s="144"/>
      <c r="BH23" s="144"/>
      <c r="BI23" s="144"/>
      <c r="BJ23" s="144"/>
      <c r="BK23" s="144"/>
      <c r="BL23" s="144"/>
      <c r="BM23" s="144"/>
      <c r="BN23" s="144"/>
      <c r="BO23" s="144"/>
      <c r="BP23" s="144"/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44"/>
      <c r="CC23" s="144"/>
      <c r="CD23" s="144"/>
      <c r="CE23" s="144"/>
      <c r="CF23" s="144"/>
      <c r="CG23" s="144"/>
      <c r="CH23" s="144"/>
      <c r="CI23" s="144"/>
      <c r="CJ23" s="144"/>
      <c r="CK23" s="144"/>
      <c r="CL23" s="144"/>
      <c r="CM23" s="144"/>
      <c r="CN23" s="144"/>
      <c r="CO23" s="144"/>
      <c r="CP23" s="144"/>
      <c r="CQ23" s="144"/>
      <c r="CR23" s="144"/>
      <c r="CS23" s="144"/>
      <c r="CT23" s="144"/>
      <c r="CU23" s="144"/>
      <c r="CV23" s="144"/>
      <c r="CW23" s="144"/>
      <c r="CX23" s="145"/>
      <c r="CY23" s="139"/>
      <c r="CZ23" s="127">
        <f t="shared" si="2"/>
        <v>0</v>
      </c>
      <c r="DA23" s="129">
        <f t="shared" si="3"/>
        <v>0</v>
      </c>
      <c r="DB23" s="129">
        <f t="shared" si="4"/>
        <v>0</v>
      </c>
      <c r="DC23" s="129">
        <f t="shared" si="5"/>
        <v>0</v>
      </c>
      <c r="DD23" s="129">
        <f t="shared" si="6"/>
        <v>0</v>
      </c>
      <c r="DE23" s="129">
        <f t="shared" si="7"/>
        <v>0</v>
      </c>
      <c r="DF23" s="129">
        <f t="shared" si="8"/>
        <v>0</v>
      </c>
      <c r="DG23" s="129">
        <f t="shared" si="9"/>
        <v>0</v>
      </c>
      <c r="DH23" s="129">
        <f t="shared" si="10"/>
        <v>0</v>
      </c>
      <c r="DI23" s="139"/>
    </row>
    <row r="24" ht="22.5" customHeight="1">
      <c r="A24" s="140" t="str">
        <f t="shared" si="1"/>
        <v>|</v>
      </c>
      <c r="B24" s="141"/>
      <c r="C24" s="142"/>
      <c r="D24" s="143"/>
      <c r="E24" s="143"/>
      <c r="F24" s="143"/>
      <c r="G24" s="144"/>
      <c r="H24" s="144"/>
      <c r="I24" s="144"/>
      <c r="J24" s="145"/>
      <c r="K24" s="144"/>
      <c r="L24" s="144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4"/>
      <c r="AM24" s="144"/>
      <c r="AN24" s="144"/>
      <c r="AO24" s="144"/>
      <c r="AP24" s="144"/>
      <c r="AQ24" s="144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144"/>
      <c r="BE24" s="144"/>
      <c r="BF24" s="144"/>
      <c r="BG24" s="144"/>
      <c r="BH24" s="144"/>
      <c r="BI24" s="144"/>
      <c r="BJ24" s="144"/>
      <c r="BK24" s="144"/>
      <c r="BL24" s="144"/>
      <c r="BM24" s="144"/>
      <c r="BN24" s="144"/>
      <c r="BO24" s="144"/>
      <c r="BP24" s="144"/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44"/>
      <c r="CC24" s="144"/>
      <c r="CD24" s="144"/>
      <c r="CE24" s="144"/>
      <c r="CF24" s="144"/>
      <c r="CG24" s="144"/>
      <c r="CH24" s="144"/>
      <c r="CI24" s="144"/>
      <c r="CJ24" s="144"/>
      <c r="CK24" s="144"/>
      <c r="CL24" s="144"/>
      <c r="CM24" s="144"/>
      <c r="CN24" s="144"/>
      <c r="CO24" s="144"/>
      <c r="CP24" s="144"/>
      <c r="CQ24" s="144"/>
      <c r="CR24" s="144"/>
      <c r="CS24" s="144"/>
      <c r="CT24" s="144"/>
      <c r="CU24" s="144"/>
      <c r="CV24" s="144"/>
      <c r="CW24" s="144"/>
      <c r="CX24" s="145"/>
      <c r="CY24" s="139"/>
      <c r="CZ24" s="127">
        <f t="shared" si="2"/>
        <v>0</v>
      </c>
      <c r="DA24" s="129">
        <f t="shared" si="3"/>
        <v>0</v>
      </c>
      <c r="DB24" s="129">
        <f t="shared" si="4"/>
        <v>0</v>
      </c>
      <c r="DC24" s="129">
        <f t="shared" si="5"/>
        <v>0</v>
      </c>
      <c r="DD24" s="129">
        <f t="shared" si="6"/>
        <v>0</v>
      </c>
      <c r="DE24" s="129">
        <f t="shared" si="7"/>
        <v>0</v>
      </c>
      <c r="DF24" s="129">
        <f t="shared" si="8"/>
        <v>0</v>
      </c>
      <c r="DG24" s="129">
        <f t="shared" si="9"/>
        <v>0</v>
      </c>
      <c r="DH24" s="129">
        <f t="shared" si="10"/>
        <v>0</v>
      </c>
      <c r="DI24" s="139"/>
    </row>
    <row r="25" ht="22.5" customHeight="1">
      <c r="A25" s="140" t="str">
        <f t="shared" si="1"/>
        <v>|</v>
      </c>
      <c r="B25" s="141"/>
      <c r="C25" s="142"/>
      <c r="D25" s="143"/>
      <c r="E25" s="143"/>
      <c r="F25" s="143"/>
      <c r="G25" s="144"/>
      <c r="H25" s="144"/>
      <c r="I25" s="144"/>
      <c r="J25" s="145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D25" s="144"/>
      <c r="BE25" s="144"/>
      <c r="BF25" s="144"/>
      <c r="BG25" s="144"/>
      <c r="BH25" s="144"/>
      <c r="BI25" s="144"/>
      <c r="BJ25" s="144"/>
      <c r="BK25" s="144"/>
      <c r="BL25" s="144"/>
      <c r="BM25" s="144"/>
      <c r="BN25" s="144"/>
      <c r="BO25" s="144"/>
      <c r="BP25" s="144"/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144"/>
      <c r="CC25" s="144"/>
      <c r="CD25" s="144"/>
      <c r="CE25" s="144"/>
      <c r="CF25" s="144"/>
      <c r="CG25" s="144"/>
      <c r="CH25" s="144"/>
      <c r="CI25" s="144"/>
      <c r="CJ25" s="144"/>
      <c r="CK25" s="144"/>
      <c r="CL25" s="144"/>
      <c r="CM25" s="144"/>
      <c r="CN25" s="144"/>
      <c r="CO25" s="144"/>
      <c r="CP25" s="144"/>
      <c r="CQ25" s="144"/>
      <c r="CR25" s="144"/>
      <c r="CS25" s="144"/>
      <c r="CT25" s="144"/>
      <c r="CU25" s="144"/>
      <c r="CV25" s="144"/>
      <c r="CW25" s="144"/>
      <c r="CX25" s="145"/>
      <c r="CY25" s="139"/>
      <c r="CZ25" s="127">
        <f t="shared" si="2"/>
        <v>0</v>
      </c>
      <c r="DA25" s="129">
        <f t="shared" si="3"/>
        <v>0</v>
      </c>
      <c r="DB25" s="129">
        <f t="shared" si="4"/>
        <v>0</v>
      </c>
      <c r="DC25" s="129">
        <f t="shared" si="5"/>
        <v>0</v>
      </c>
      <c r="DD25" s="129">
        <f t="shared" si="6"/>
        <v>0</v>
      </c>
      <c r="DE25" s="129">
        <f t="shared" si="7"/>
        <v>0</v>
      </c>
      <c r="DF25" s="129">
        <f t="shared" si="8"/>
        <v>0</v>
      </c>
      <c r="DG25" s="129">
        <f t="shared" si="9"/>
        <v>0</v>
      </c>
      <c r="DH25" s="129">
        <f t="shared" si="10"/>
        <v>0</v>
      </c>
      <c r="DI25" s="139"/>
    </row>
    <row r="26" ht="22.5" customHeight="1">
      <c r="A26" s="140" t="str">
        <f t="shared" si="1"/>
        <v>|</v>
      </c>
      <c r="B26" s="141"/>
      <c r="C26" s="142"/>
      <c r="D26" s="143"/>
      <c r="E26" s="143"/>
      <c r="F26" s="143"/>
      <c r="G26" s="144"/>
      <c r="H26" s="144"/>
      <c r="I26" s="144"/>
      <c r="J26" s="145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D26" s="144"/>
      <c r="BE26" s="144"/>
      <c r="BF26" s="144"/>
      <c r="BG26" s="144"/>
      <c r="BH26" s="144"/>
      <c r="BI26" s="144"/>
      <c r="BJ26" s="144"/>
      <c r="BK26" s="144"/>
      <c r="BL26" s="144"/>
      <c r="BM26" s="144"/>
      <c r="BN26" s="144"/>
      <c r="BO26" s="144"/>
      <c r="BP26" s="144"/>
      <c r="BQ26" s="144"/>
      <c r="BR26" s="144"/>
      <c r="BS26" s="144"/>
      <c r="BT26" s="144"/>
      <c r="BU26" s="144"/>
      <c r="BV26" s="144"/>
      <c r="BW26" s="144"/>
      <c r="BX26" s="144"/>
      <c r="BY26" s="144"/>
      <c r="BZ26" s="144"/>
      <c r="CA26" s="144"/>
      <c r="CB26" s="144"/>
      <c r="CC26" s="144"/>
      <c r="CD26" s="144"/>
      <c r="CE26" s="144"/>
      <c r="CF26" s="144"/>
      <c r="CG26" s="144"/>
      <c r="CH26" s="144"/>
      <c r="CI26" s="144"/>
      <c r="CJ26" s="144"/>
      <c r="CK26" s="144"/>
      <c r="CL26" s="144"/>
      <c r="CM26" s="144"/>
      <c r="CN26" s="144"/>
      <c r="CO26" s="144"/>
      <c r="CP26" s="144"/>
      <c r="CQ26" s="144"/>
      <c r="CR26" s="144"/>
      <c r="CS26" s="144"/>
      <c r="CT26" s="144"/>
      <c r="CU26" s="144"/>
      <c r="CV26" s="144"/>
      <c r="CW26" s="144"/>
      <c r="CX26" s="145"/>
      <c r="CY26" s="139"/>
      <c r="CZ26" s="127">
        <f t="shared" si="2"/>
        <v>0</v>
      </c>
      <c r="DA26" s="129">
        <f t="shared" si="3"/>
        <v>0</v>
      </c>
      <c r="DB26" s="129">
        <f t="shared" si="4"/>
        <v>0</v>
      </c>
      <c r="DC26" s="129">
        <f t="shared" si="5"/>
        <v>0</v>
      </c>
      <c r="DD26" s="129">
        <f t="shared" si="6"/>
        <v>0</v>
      </c>
      <c r="DE26" s="129">
        <f t="shared" si="7"/>
        <v>0</v>
      </c>
      <c r="DF26" s="129">
        <f t="shared" si="8"/>
        <v>0</v>
      </c>
      <c r="DG26" s="129">
        <f t="shared" si="9"/>
        <v>0</v>
      </c>
      <c r="DH26" s="129">
        <f t="shared" si="10"/>
        <v>0</v>
      </c>
      <c r="DI26" s="139"/>
    </row>
    <row r="27" ht="22.5" customHeight="1">
      <c r="A27" s="140" t="str">
        <f t="shared" si="1"/>
        <v>|</v>
      </c>
      <c r="B27" s="141"/>
      <c r="C27" s="142"/>
      <c r="D27" s="143"/>
      <c r="E27" s="143"/>
      <c r="F27" s="143"/>
      <c r="G27" s="144"/>
      <c r="H27" s="144"/>
      <c r="I27" s="144"/>
      <c r="J27" s="145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D27" s="144"/>
      <c r="BE27" s="144"/>
      <c r="BF27" s="144"/>
      <c r="BG27" s="144"/>
      <c r="BH27" s="144"/>
      <c r="BI27" s="144"/>
      <c r="BJ27" s="144"/>
      <c r="BK27" s="144"/>
      <c r="BL27" s="144"/>
      <c r="BM27" s="144"/>
      <c r="BN27" s="144"/>
      <c r="BO27" s="144"/>
      <c r="BP27" s="144"/>
      <c r="BQ27" s="144"/>
      <c r="BR27" s="144"/>
      <c r="BS27" s="144"/>
      <c r="BT27" s="144"/>
      <c r="BU27" s="144"/>
      <c r="BV27" s="144"/>
      <c r="BW27" s="144"/>
      <c r="BX27" s="144"/>
      <c r="BY27" s="144"/>
      <c r="BZ27" s="144"/>
      <c r="CA27" s="144"/>
      <c r="CB27" s="144"/>
      <c r="CC27" s="144"/>
      <c r="CD27" s="144"/>
      <c r="CE27" s="144"/>
      <c r="CF27" s="144"/>
      <c r="CG27" s="144"/>
      <c r="CH27" s="144"/>
      <c r="CI27" s="144"/>
      <c r="CJ27" s="144"/>
      <c r="CK27" s="144"/>
      <c r="CL27" s="144"/>
      <c r="CM27" s="144"/>
      <c r="CN27" s="144"/>
      <c r="CO27" s="144"/>
      <c r="CP27" s="144"/>
      <c r="CQ27" s="144"/>
      <c r="CR27" s="144"/>
      <c r="CS27" s="144"/>
      <c r="CT27" s="144"/>
      <c r="CU27" s="144"/>
      <c r="CV27" s="144"/>
      <c r="CW27" s="144"/>
      <c r="CX27" s="145"/>
      <c r="CY27" s="139"/>
      <c r="CZ27" s="127">
        <f t="shared" si="2"/>
        <v>0</v>
      </c>
      <c r="DA27" s="129">
        <f t="shared" si="3"/>
        <v>0</v>
      </c>
      <c r="DB27" s="129">
        <f t="shared" si="4"/>
        <v>0</v>
      </c>
      <c r="DC27" s="129">
        <f t="shared" si="5"/>
        <v>0</v>
      </c>
      <c r="DD27" s="129">
        <f t="shared" si="6"/>
        <v>0</v>
      </c>
      <c r="DE27" s="129">
        <f t="shared" si="7"/>
        <v>0</v>
      </c>
      <c r="DF27" s="129">
        <f t="shared" si="8"/>
        <v>0</v>
      </c>
      <c r="DG27" s="129">
        <f t="shared" si="9"/>
        <v>0</v>
      </c>
      <c r="DH27" s="129">
        <f t="shared" si="10"/>
        <v>0</v>
      </c>
      <c r="DI27" s="139"/>
    </row>
    <row r="28" ht="22.5" customHeight="1">
      <c r="A28" s="140" t="str">
        <f t="shared" si="1"/>
        <v>|</v>
      </c>
      <c r="B28" s="141"/>
      <c r="C28" s="142"/>
      <c r="D28" s="143"/>
      <c r="E28" s="143"/>
      <c r="F28" s="143"/>
      <c r="G28" s="144"/>
      <c r="H28" s="144"/>
      <c r="I28" s="144"/>
      <c r="J28" s="145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144"/>
      <c r="BE28" s="144"/>
      <c r="BF28" s="144"/>
      <c r="BG28" s="144"/>
      <c r="BH28" s="144"/>
      <c r="BI28" s="144"/>
      <c r="BJ28" s="144"/>
      <c r="BK28" s="144"/>
      <c r="BL28" s="144"/>
      <c r="BM28" s="144"/>
      <c r="BN28" s="144"/>
      <c r="BO28" s="144"/>
      <c r="BP28" s="144"/>
      <c r="BQ28" s="144"/>
      <c r="BR28" s="144"/>
      <c r="BS28" s="144"/>
      <c r="BT28" s="144"/>
      <c r="BU28" s="144"/>
      <c r="BV28" s="144"/>
      <c r="BW28" s="144"/>
      <c r="BX28" s="144"/>
      <c r="BY28" s="144"/>
      <c r="BZ28" s="144"/>
      <c r="CA28" s="144"/>
      <c r="CB28" s="144"/>
      <c r="CC28" s="144"/>
      <c r="CD28" s="144"/>
      <c r="CE28" s="144"/>
      <c r="CF28" s="144"/>
      <c r="CG28" s="144"/>
      <c r="CH28" s="144"/>
      <c r="CI28" s="144"/>
      <c r="CJ28" s="144"/>
      <c r="CK28" s="144"/>
      <c r="CL28" s="144"/>
      <c r="CM28" s="144"/>
      <c r="CN28" s="144"/>
      <c r="CO28" s="144"/>
      <c r="CP28" s="144"/>
      <c r="CQ28" s="144"/>
      <c r="CR28" s="144"/>
      <c r="CS28" s="144"/>
      <c r="CT28" s="144"/>
      <c r="CU28" s="144"/>
      <c r="CV28" s="144"/>
      <c r="CW28" s="144"/>
      <c r="CX28" s="145"/>
      <c r="CY28" s="139"/>
      <c r="CZ28" s="127">
        <f t="shared" si="2"/>
        <v>0</v>
      </c>
      <c r="DA28" s="129">
        <f t="shared" si="3"/>
        <v>0</v>
      </c>
      <c r="DB28" s="129">
        <f t="shared" si="4"/>
        <v>0</v>
      </c>
      <c r="DC28" s="129">
        <f t="shared" si="5"/>
        <v>0</v>
      </c>
      <c r="DD28" s="129">
        <f t="shared" si="6"/>
        <v>0</v>
      </c>
      <c r="DE28" s="129">
        <f t="shared" si="7"/>
        <v>0</v>
      </c>
      <c r="DF28" s="129">
        <f t="shared" si="8"/>
        <v>0</v>
      </c>
      <c r="DG28" s="129">
        <f t="shared" si="9"/>
        <v>0</v>
      </c>
      <c r="DH28" s="129">
        <f t="shared" si="10"/>
        <v>0</v>
      </c>
      <c r="DI28" s="139"/>
    </row>
    <row r="29" ht="22.5" customHeight="1">
      <c r="A29" s="140" t="str">
        <f t="shared" si="1"/>
        <v>|</v>
      </c>
      <c r="B29" s="141"/>
      <c r="C29" s="142"/>
      <c r="D29" s="143"/>
      <c r="E29" s="143"/>
      <c r="F29" s="143"/>
      <c r="G29" s="144"/>
      <c r="H29" s="144"/>
      <c r="I29" s="144"/>
      <c r="J29" s="145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144"/>
      <c r="CS29" s="144"/>
      <c r="CT29" s="144"/>
      <c r="CU29" s="144"/>
      <c r="CV29" s="144"/>
      <c r="CW29" s="144"/>
      <c r="CX29" s="145"/>
      <c r="CY29" s="139"/>
      <c r="CZ29" s="127">
        <f t="shared" si="2"/>
        <v>0</v>
      </c>
      <c r="DA29" s="129">
        <f t="shared" si="3"/>
        <v>0</v>
      </c>
      <c r="DB29" s="129">
        <f t="shared" si="4"/>
        <v>0</v>
      </c>
      <c r="DC29" s="129">
        <f t="shared" si="5"/>
        <v>0</v>
      </c>
      <c r="DD29" s="129">
        <f t="shared" si="6"/>
        <v>0</v>
      </c>
      <c r="DE29" s="129">
        <f t="shared" si="7"/>
        <v>0</v>
      </c>
      <c r="DF29" s="129">
        <f t="shared" si="8"/>
        <v>0</v>
      </c>
      <c r="DG29" s="129">
        <f t="shared" si="9"/>
        <v>0</v>
      </c>
      <c r="DH29" s="129">
        <f t="shared" si="10"/>
        <v>0</v>
      </c>
      <c r="DI29" s="139"/>
    </row>
    <row r="30" ht="22.5" customHeight="1">
      <c r="A30" s="140" t="str">
        <f t="shared" si="1"/>
        <v>|</v>
      </c>
      <c r="B30" s="141"/>
      <c r="C30" s="142"/>
      <c r="D30" s="143"/>
      <c r="E30" s="143"/>
      <c r="F30" s="143"/>
      <c r="G30" s="144"/>
      <c r="H30" s="144"/>
      <c r="I30" s="144"/>
      <c r="J30" s="145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44"/>
      <c r="BE30" s="144"/>
      <c r="BF30" s="144"/>
      <c r="BG30" s="144"/>
      <c r="BH30" s="144"/>
      <c r="BI30" s="144"/>
      <c r="BJ30" s="144"/>
      <c r="BK30" s="144"/>
      <c r="BL30" s="144"/>
      <c r="BM30" s="144"/>
      <c r="BN30" s="144"/>
      <c r="BO30" s="144"/>
      <c r="BP30" s="144"/>
      <c r="BQ30" s="144"/>
      <c r="BR30" s="144"/>
      <c r="BS30" s="144"/>
      <c r="BT30" s="144"/>
      <c r="BU30" s="144"/>
      <c r="BV30" s="144"/>
      <c r="BW30" s="144"/>
      <c r="BX30" s="144"/>
      <c r="BY30" s="144"/>
      <c r="BZ30" s="144"/>
      <c r="CA30" s="144"/>
      <c r="CB30" s="144"/>
      <c r="CC30" s="144"/>
      <c r="CD30" s="144"/>
      <c r="CE30" s="144"/>
      <c r="CF30" s="144"/>
      <c r="CG30" s="144"/>
      <c r="CH30" s="144"/>
      <c r="CI30" s="144"/>
      <c r="CJ30" s="144"/>
      <c r="CK30" s="144"/>
      <c r="CL30" s="144"/>
      <c r="CM30" s="144"/>
      <c r="CN30" s="144"/>
      <c r="CO30" s="144"/>
      <c r="CP30" s="144"/>
      <c r="CQ30" s="144"/>
      <c r="CR30" s="144"/>
      <c r="CS30" s="144"/>
      <c r="CT30" s="144"/>
      <c r="CU30" s="144"/>
      <c r="CV30" s="144"/>
      <c r="CW30" s="144"/>
      <c r="CX30" s="145"/>
      <c r="CY30" s="139"/>
      <c r="CZ30" s="127">
        <f t="shared" si="2"/>
        <v>0</v>
      </c>
      <c r="DA30" s="129">
        <f t="shared" si="3"/>
        <v>0</v>
      </c>
      <c r="DB30" s="129">
        <f t="shared" si="4"/>
        <v>0</v>
      </c>
      <c r="DC30" s="129">
        <f t="shared" si="5"/>
        <v>0</v>
      </c>
      <c r="DD30" s="129">
        <f t="shared" si="6"/>
        <v>0</v>
      </c>
      <c r="DE30" s="129">
        <f t="shared" si="7"/>
        <v>0</v>
      </c>
      <c r="DF30" s="129">
        <f t="shared" si="8"/>
        <v>0</v>
      </c>
      <c r="DG30" s="129">
        <f t="shared" si="9"/>
        <v>0</v>
      </c>
      <c r="DH30" s="129">
        <f t="shared" si="10"/>
        <v>0</v>
      </c>
      <c r="DI30" s="139"/>
    </row>
    <row r="31" ht="22.5" customHeight="1">
      <c r="A31" s="140" t="str">
        <f t="shared" si="1"/>
        <v>|</v>
      </c>
      <c r="B31" s="141"/>
      <c r="C31" s="142"/>
      <c r="D31" s="143"/>
      <c r="E31" s="143"/>
      <c r="F31" s="143"/>
      <c r="G31" s="144"/>
      <c r="H31" s="144"/>
      <c r="I31" s="144"/>
      <c r="J31" s="145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D31" s="144"/>
      <c r="BE31" s="144"/>
      <c r="BF31" s="144"/>
      <c r="BG31" s="144"/>
      <c r="BH31" s="144"/>
      <c r="BI31" s="144"/>
      <c r="BJ31" s="144"/>
      <c r="BK31" s="144"/>
      <c r="BL31" s="144"/>
      <c r="BM31" s="144"/>
      <c r="BN31" s="144"/>
      <c r="BO31" s="144"/>
      <c r="BP31" s="144"/>
      <c r="BQ31" s="144"/>
      <c r="BR31" s="144"/>
      <c r="BS31" s="144"/>
      <c r="BT31" s="144"/>
      <c r="BU31" s="144"/>
      <c r="BV31" s="144"/>
      <c r="BW31" s="144"/>
      <c r="BX31" s="144"/>
      <c r="BY31" s="144"/>
      <c r="BZ31" s="144"/>
      <c r="CA31" s="144"/>
      <c r="CB31" s="144"/>
      <c r="CC31" s="144"/>
      <c r="CD31" s="144"/>
      <c r="CE31" s="144"/>
      <c r="CF31" s="144"/>
      <c r="CG31" s="144"/>
      <c r="CH31" s="144"/>
      <c r="CI31" s="144"/>
      <c r="CJ31" s="144"/>
      <c r="CK31" s="144"/>
      <c r="CL31" s="144"/>
      <c r="CM31" s="144"/>
      <c r="CN31" s="144"/>
      <c r="CO31" s="144"/>
      <c r="CP31" s="144"/>
      <c r="CQ31" s="144"/>
      <c r="CR31" s="144"/>
      <c r="CS31" s="144"/>
      <c r="CT31" s="144"/>
      <c r="CU31" s="144"/>
      <c r="CV31" s="144"/>
      <c r="CW31" s="144"/>
      <c r="CX31" s="145"/>
      <c r="CY31" s="139"/>
      <c r="CZ31" s="127">
        <f t="shared" si="2"/>
        <v>0</v>
      </c>
      <c r="DA31" s="129">
        <f t="shared" si="3"/>
        <v>0</v>
      </c>
      <c r="DB31" s="129">
        <f t="shared" si="4"/>
        <v>0</v>
      </c>
      <c r="DC31" s="129">
        <f t="shared" si="5"/>
        <v>0</v>
      </c>
      <c r="DD31" s="129">
        <f t="shared" si="6"/>
        <v>0</v>
      </c>
      <c r="DE31" s="129">
        <f t="shared" si="7"/>
        <v>0</v>
      </c>
      <c r="DF31" s="129">
        <f t="shared" si="8"/>
        <v>0</v>
      </c>
      <c r="DG31" s="129">
        <f t="shared" si="9"/>
        <v>0</v>
      </c>
      <c r="DH31" s="129">
        <f t="shared" si="10"/>
        <v>0</v>
      </c>
      <c r="DI31" s="139"/>
    </row>
    <row r="32" ht="22.5" customHeight="1">
      <c r="A32" s="140" t="str">
        <f t="shared" si="1"/>
        <v>|</v>
      </c>
      <c r="B32" s="141"/>
      <c r="C32" s="142"/>
      <c r="D32" s="143"/>
      <c r="E32" s="143"/>
      <c r="F32" s="143"/>
      <c r="G32" s="144"/>
      <c r="H32" s="144"/>
      <c r="I32" s="144"/>
      <c r="J32" s="145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D32" s="144"/>
      <c r="BE32" s="144"/>
      <c r="BF32" s="144"/>
      <c r="BG32" s="144"/>
      <c r="BH32" s="144"/>
      <c r="BI32" s="144"/>
      <c r="BJ32" s="144"/>
      <c r="BK32" s="144"/>
      <c r="BL32" s="144"/>
      <c r="BM32" s="144"/>
      <c r="BN32" s="144"/>
      <c r="BO32" s="144"/>
      <c r="BP32" s="144"/>
      <c r="BQ32" s="144"/>
      <c r="BR32" s="144"/>
      <c r="BS32" s="144"/>
      <c r="BT32" s="144"/>
      <c r="BU32" s="144"/>
      <c r="BV32" s="144"/>
      <c r="BW32" s="144"/>
      <c r="BX32" s="144"/>
      <c r="BY32" s="144"/>
      <c r="BZ32" s="144"/>
      <c r="CA32" s="144"/>
      <c r="CB32" s="144"/>
      <c r="CC32" s="144"/>
      <c r="CD32" s="144"/>
      <c r="CE32" s="144"/>
      <c r="CF32" s="144"/>
      <c r="CG32" s="144"/>
      <c r="CH32" s="144"/>
      <c r="CI32" s="144"/>
      <c r="CJ32" s="144"/>
      <c r="CK32" s="144"/>
      <c r="CL32" s="144"/>
      <c r="CM32" s="144"/>
      <c r="CN32" s="144"/>
      <c r="CO32" s="144"/>
      <c r="CP32" s="144"/>
      <c r="CQ32" s="144"/>
      <c r="CR32" s="144"/>
      <c r="CS32" s="144"/>
      <c r="CT32" s="144"/>
      <c r="CU32" s="144"/>
      <c r="CV32" s="144"/>
      <c r="CW32" s="144"/>
      <c r="CX32" s="145"/>
      <c r="CY32" s="139"/>
      <c r="CZ32" s="127">
        <f t="shared" si="2"/>
        <v>0</v>
      </c>
      <c r="DA32" s="129">
        <f t="shared" si="3"/>
        <v>0</v>
      </c>
      <c r="DB32" s="129">
        <f t="shared" si="4"/>
        <v>0</v>
      </c>
      <c r="DC32" s="129">
        <f t="shared" si="5"/>
        <v>0</v>
      </c>
      <c r="DD32" s="129">
        <f t="shared" si="6"/>
        <v>0</v>
      </c>
      <c r="DE32" s="129">
        <f t="shared" si="7"/>
        <v>0</v>
      </c>
      <c r="DF32" s="129">
        <f t="shared" si="8"/>
        <v>0</v>
      </c>
      <c r="DG32" s="129">
        <f t="shared" si="9"/>
        <v>0</v>
      </c>
      <c r="DH32" s="129">
        <f t="shared" si="10"/>
        <v>0</v>
      </c>
      <c r="DI32" s="139"/>
    </row>
    <row r="33" ht="22.5" customHeight="1">
      <c r="A33" s="140" t="str">
        <f t="shared" si="1"/>
        <v>|</v>
      </c>
      <c r="B33" s="141"/>
      <c r="C33" s="142"/>
      <c r="D33" s="143"/>
      <c r="E33" s="143"/>
      <c r="F33" s="143"/>
      <c r="G33" s="144"/>
      <c r="H33" s="144"/>
      <c r="I33" s="144"/>
      <c r="J33" s="145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144"/>
      <c r="BE33" s="144"/>
      <c r="BF33" s="144"/>
      <c r="BG33" s="144"/>
      <c r="BH33" s="144"/>
      <c r="BI33" s="144"/>
      <c r="BJ33" s="144"/>
      <c r="BK33" s="144"/>
      <c r="BL33" s="144"/>
      <c r="BM33" s="144"/>
      <c r="BN33" s="144"/>
      <c r="BO33" s="144"/>
      <c r="BP33" s="144"/>
      <c r="BQ33" s="144"/>
      <c r="BR33" s="144"/>
      <c r="BS33" s="144"/>
      <c r="BT33" s="144"/>
      <c r="BU33" s="144"/>
      <c r="BV33" s="144"/>
      <c r="BW33" s="144"/>
      <c r="BX33" s="144"/>
      <c r="BY33" s="144"/>
      <c r="BZ33" s="144"/>
      <c r="CA33" s="144"/>
      <c r="CB33" s="144"/>
      <c r="CC33" s="144"/>
      <c r="CD33" s="144"/>
      <c r="CE33" s="144"/>
      <c r="CF33" s="144"/>
      <c r="CG33" s="144"/>
      <c r="CH33" s="144"/>
      <c r="CI33" s="144"/>
      <c r="CJ33" s="144"/>
      <c r="CK33" s="144"/>
      <c r="CL33" s="144"/>
      <c r="CM33" s="144"/>
      <c r="CN33" s="144"/>
      <c r="CO33" s="144"/>
      <c r="CP33" s="144"/>
      <c r="CQ33" s="144"/>
      <c r="CR33" s="144"/>
      <c r="CS33" s="144"/>
      <c r="CT33" s="144"/>
      <c r="CU33" s="144"/>
      <c r="CV33" s="144"/>
      <c r="CW33" s="144"/>
      <c r="CX33" s="145"/>
      <c r="CY33" s="139"/>
      <c r="CZ33" s="127">
        <f t="shared" si="2"/>
        <v>0</v>
      </c>
      <c r="DA33" s="129">
        <f t="shared" si="3"/>
        <v>0</v>
      </c>
      <c r="DB33" s="129">
        <f t="shared" si="4"/>
        <v>0</v>
      </c>
      <c r="DC33" s="129">
        <f t="shared" si="5"/>
        <v>0</v>
      </c>
      <c r="DD33" s="129">
        <f t="shared" si="6"/>
        <v>0</v>
      </c>
      <c r="DE33" s="129">
        <f t="shared" si="7"/>
        <v>0</v>
      </c>
      <c r="DF33" s="129">
        <f t="shared" si="8"/>
        <v>0</v>
      </c>
      <c r="DG33" s="129">
        <f t="shared" si="9"/>
        <v>0</v>
      </c>
      <c r="DH33" s="129">
        <f t="shared" si="10"/>
        <v>0</v>
      </c>
      <c r="DI33" s="139"/>
    </row>
    <row r="34" ht="22.5" customHeight="1">
      <c r="A34" s="140" t="str">
        <f t="shared" si="1"/>
        <v>|</v>
      </c>
      <c r="B34" s="141"/>
      <c r="C34" s="142"/>
      <c r="D34" s="143"/>
      <c r="E34" s="143"/>
      <c r="F34" s="143"/>
      <c r="G34" s="144"/>
      <c r="H34" s="144"/>
      <c r="I34" s="144"/>
      <c r="J34" s="145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4"/>
      <c r="AM34" s="144"/>
      <c r="AN34" s="144"/>
      <c r="AO34" s="144"/>
      <c r="AP34" s="144"/>
      <c r="AQ34" s="144"/>
      <c r="AR34" s="144"/>
      <c r="AS34" s="144"/>
      <c r="AT34" s="144"/>
      <c r="AU34" s="144"/>
      <c r="AV34" s="144"/>
      <c r="AW34" s="144"/>
      <c r="AX34" s="144"/>
      <c r="AY34" s="144"/>
      <c r="AZ34" s="144"/>
      <c r="BA34" s="144"/>
      <c r="BB34" s="144"/>
      <c r="BC34" s="144"/>
      <c r="BD34" s="144"/>
      <c r="BE34" s="144"/>
      <c r="BF34" s="144"/>
      <c r="BG34" s="144"/>
      <c r="BH34" s="144"/>
      <c r="BI34" s="144"/>
      <c r="BJ34" s="144"/>
      <c r="BK34" s="144"/>
      <c r="BL34" s="144"/>
      <c r="BM34" s="144"/>
      <c r="BN34" s="144"/>
      <c r="BO34" s="144"/>
      <c r="BP34" s="144"/>
      <c r="BQ34" s="144"/>
      <c r="BR34" s="144"/>
      <c r="BS34" s="144"/>
      <c r="BT34" s="144"/>
      <c r="BU34" s="144"/>
      <c r="BV34" s="144"/>
      <c r="BW34" s="144"/>
      <c r="BX34" s="144"/>
      <c r="BY34" s="144"/>
      <c r="BZ34" s="144"/>
      <c r="CA34" s="144"/>
      <c r="CB34" s="144"/>
      <c r="CC34" s="144"/>
      <c r="CD34" s="144"/>
      <c r="CE34" s="144"/>
      <c r="CF34" s="144"/>
      <c r="CG34" s="144"/>
      <c r="CH34" s="144"/>
      <c r="CI34" s="144"/>
      <c r="CJ34" s="144"/>
      <c r="CK34" s="144"/>
      <c r="CL34" s="144"/>
      <c r="CM34" s="144"/>
      <c r="CN34" s="144"/>
      <c r="CO34" s="144"/>
      <c r="CP34" s="144"/>
      <c r="CQ34" s="144"/>
      <c r="CR34" s="144"/>
      <c r="CS34" s="144"/>
      <c r="CT34" s="144"/>
      <c r="CU34" s="144"/>
      <c r="CV34" s="144"/>
      <c r="CW34" s="144"/>
      <c r="CX34" s="145"/>
      <c r="CY34" s="139"/>
      <c r="CZ34" s="127">
        <f t="shared" si="2"/>
        <v>0</v>
      </c>
      <c r="DA34" s="129">
        <f t="shared" si="3"/>
        <v>0</v>
      </c>
      <c r="DB34" s="129">
        <f t="shared" si="4"/>
        <v>0</v>
      </c>
      <c r="DC34" s="129">
        <f t="shared" si="5"/>
        <v>0</v>
      </c>
      <c r="DD34" s="129">
        <f t="shared" si="6"/>
        <v>0</v>
      </c>
      <c r="DE34" s="129">
        <f t="shared" si="7"/>
        <v>0</v>
      </c>
      <c r="DF34" s="129">
        <f t="shared" si="8"/>
        <v>0</v>
      </c>
      <c r="DG34" s="129">
        <f t="shared" si="9"/>
        <v>0</v>
      </c>
      <c r="DH34" s="129">
        <f t="shared" si="10"/>
        <v>0</v>
      </c>
      <c r="DI34" s="139"/>
    </row>
    <row r="35" ht="22.5" customHeight="1">
      <c r="A35" s="140" t="str">
        <f t="shared" si="1"/>
        <v>|</v>
      </c>
      <c r="B35" s="141"/>
      <c r="C35" s="142"/>
      <c r="D35" s="143"/>
      <c r="E35" s="143"/>
      <c r="F35" s="143"/>
      <c r="G35" s="144"/>
      <c r="H35" s="144"/>
      <c r="I35" s="144"/>
      <c r="J35" s="145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44"/>
      <c r="AH35" s="144"/>
      <c r="AI35" s="144"/>
      <c r="AJ35" s="144"/>
      <c r="AK35" s="144"/>
      <c r="AL35" s="144"/>
      <c r="AM35" s="144"/>
      <c r="AN35" s="144"/>
      <c r="AO35" s="144"/>
      <c r="AP35" s="144"/>
      <c r="AQ35" s="144"/>
      <c r="AR35" s="144"/>
      <c r="AS35" s="144"/>
      <c r="AT35" s="144"/>
      <c r="AU35" s="144"/>
      <c r="AV35" s="144"/>
      <c r="AW35" s="144"/>
      <c r="AX35" s="144"/>
      <c r="AY35" s="144"/>
      <c r="AZ35" s="144"/>
      <c r="BA35" s="144"/>
      <c r="BB35" s="144"/>
      <c r="BC35" s="144"/>
      <c r="BD35" s="144"/>
      <c r="BE35" s="144"/>
      <c r="BF35" s="144"/>
      <c r="BG35" s="144"/>
      <c r="BH35" s="144"/>
      <c r="BI35" s="144"/>
      <c r="BJ35" s="144"/>
      <c r="BK35" s="144"/>
      <c r="BL35" s="144"/>
      <c r="BM35" s="144"/>
      <c r="BN35" s="144"/>
      <c r="BO35" s="144"/>
      <c r="BP35" s="144"/>
      <c r="BQ35" s="144"/>
      <c r="BR35" s="144"/>
      <c r="BS35" s="144"/>
      <c r="BT35" s="144"/>
      <c r="BU35" s="144"/>
      <c r="BV35" s="144"/>
      <c r="BW35" s="144"/>
      <c r="BX35" s="144"/>
      <c r="BY35" s="144"/>
      <c r="BZ35" s="144"/>
      <c r="CA35" s="144"/>
      <c r="CB35" s="144"/>
      <c r="CC35" s="144"/>
      <c r="CD35" s="144"/>
      <c r="CE35" s="144"/>
      <c r="CF35" s="144"/>
      <c r="CG35" s="144"/>
      <c r="CH35" s="144"/>
      <c r="CI35" s="144"/>
      <c r="CJ35" s="144"/>
      <c r="CK35" s="144"/>
      <c r="CL35" s="144"/>
      <c r="CM35" s="144"/>
      <c r="CN35" s="144"/>
      <c r="CO35" s="144"/>
      <c r="CP35" s="144"/>
      <c r="CQ35" s="144"/>
      <c r="CR35" s="144"/>
      <c r="CS35" s="144"/>
      <c r="CT35" s="144"/>
      <c r="CU35" s="144"/>
      <c r="CV35" s="144"/>
      <c r="CW35" s="144"/>
      <c r="CX35" s="145"/>
      <c r="CY35" s="139"/>
      <c r="CZ35" s="127">
        <f t="shared" si="2"/>
        <v>0</v>
      </c>
      <c r="DA35" s="129">
        <f t="shared" si="3"/>
        <v>0</v>
      </c>
      <c r="DB35" s="129">
        <f t="shared" si="4"/>
        <v>0</v>
      </c>
      <c r="DC35" s="129">
        <f t="shared" si="5"/>
        <v>0</v>
      </c>
      <c r="DD35" s="129">
        <f t="shared" si="6"/>
        <v>0</v>
      </c>
      <c r="DE35" s="129">
        <f t="shared" si="7"/>
        <v>0</v>
      </c>
      <c r="DF35" s="129">
        <f t="shared" si="8"/>
        <v>0</v>
      </c>
      <c r="DG35" s="129">
        <f t="shared" si="9"/>
        <v>0</v>
      </c>
      <c r="DH35" s="129">
        <f t="shared" si="10"/>
        <v>0</v>
      </c>
      <c r="DI35" s="139"/>
    </row>
    <row r="36" ht="22.5" customHeight="1">
      <c r="A36" s="140" t="str">
        <f t="shared" si="1"/>
        <v>|</v>
      </c>
      <c r="B36" s="141"/>
      <c r="C36" s="142"/>
      <c r="D36" s="143"/>
      <c r="E36" s="143"/>
      <c r="F36" s="143"/>
      <c r="G36" s="144"/>
      <c r="H36" s="144"/>
      <c r="I36" s="144"/>
      <c r="J36" s="145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4"/>
      <c r="AM36" s="144"/>
      <c r="AN36" s="144"/>
      <c r="AO36" s="144"/>
      <c r="AP36" s="144"/>
      <c r="AQ36" s="144"/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144"/>
      <c r="BE36" s="144"/>
      <c r="BF36" s="144"/>
      <c r="BG36" s="144"/>
      <c r="BH36" s="144"/>
      <c r="BI36" s="144"/>
      <c r="BJ36" s="144"/>
      <c r="BK36" s="144"/>
      <c r="BL36" s="144"/>
      <c r="BM36" s="144"/>
      <c r="BN36" s="144"/>
      <c r="BO36" s="144"/>
      <c r="BP36" s="144"/>
      <c r="BQ36" s="144"/>
      <c r="BR36" s="144"/>
      <c r="BS36" s="144"/>
      <c r="BT36" s="144"/>
      <c r="BU36" s="144"/>
      <c r="BV36" s="144"/>
      <c r="BW36" s="144"/>
      <c r="BX36" s="144"/>
      <c r="BY36" s="144"/>
      <c r="BZ36" s="144"/>
      <c r="CA36" s="144"/>
      <c r="CB36" s="144"/>
      <c r="CC36" s="144"/>
      <c r="CD36" s="144"/>
      <c r="CE36" s="144"/>
      <c r="CF36" s="144"/>
      <c r="CG36" s="144"/>
      <c r="CH36" s="144"/>
      <c r="CI36" s="144"/>
      <c r="CJ36" s="144"/>
      <c r="CK36" s="144"/>
      <c r="CL36" s="144"/>
      <c r="CM36" s="144"/>
      <c r="CN36" s="144"/>
      <c r="CO36" s="144"/>
      <c r="CP36" s="144"/>
      <c r="CQ36" s="144"/>
      <c r="CR36" s="144"/>
      <c r="CS36" s="144"/>
      <c r="CT36" s="144"/>
      <c r="CU36" s="144"/>
      <c r="CV36" s="144"/>
      <c r="CW36" s="144"/>
      <c r="CX36" s="145"/>
      <c r="CY36" s="139"/>
      <c r="CZ36" s="127">
        <f t="shared" si="2"/>
        <v>0</v>
      </c>
      <c r="DA36" s="129">
        <f t="shared" si="3"/>
        <v>0</v>
      </c>
      <c r="DB36" s="129">
        <f t="shared" si="4"/>
        <v>0</v>
      </c>
      <c r="DC36" s="129">
        <f t="shared" si="5"/>
        <v>0</v>
      </c>
      <c r="DD36" s="129">
        <f t="shared" si="6"/>
        <v>0</v>
      </c>
      <c r="DE36" s="129">
        <f t="shared" si="7"/>
        <v>0</v>
      </c>
      <c r="DF36" s="129">
        <f t="shared" si="8"/>
        <v>0</v>
      </c>
      <c r="DG36" s="129">
        <f t="shared" si="9"/>
        <v>0</v>
      </c>
      <c r="DH36" s="129">
        <f t="shared" si="10"/>
        <v>0</v>
      </c>
      <c r="DI36" s="139"/>
    </row>
    <row r="37" ht="22.5" customHeight="1">
      <c r="A37" s="140" t="str">
        <f t="shared" si="1"/>
        <v>|</v>
      </c>
      <c r="B37" s="141"/>
      <c r="C37" s="142"/>
      <c r="D37" s="143"/>
      <c r="E37" s="143"/>
      <c r="F37" s="143"/>
      <c r="G37" s="144"/>
      <c r="H37" s="144"/>
      <c r="I37" s="144"/>
      <c r="J37" s="145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  <c r="AO37" s="144"/>
      <c r="AP37" s="144"/>
      <c r="AQ37" s="144"/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144"/>
      <c r="BE37" s="144"/>
      <c r="BF37" s="144"/>
      <c r="BG37" s="144"/>
      <c r="BH37" s="144"/>
      <c r="BI37" s="144"/>
      <c r="BJ37" s="144"/>
      <c r="BK37" s="144"/>
      <c r="BL37" s="144"/>
      <c r="BM37" s="144"/>
      <c r="BN37" s="144"/>
      <c r="BO37" s="144"/>
      <c r="BP37" s="144"/>
      <c r="BQ37" s="144"/>
      <c r="BR37" s="144"/>
      <c r="BS37" s="144"/>
      <c r="BT37" s="144"/>
      <c r="BU37" s="144"/>
      <c r="BV37" s="144"/>
      <c r="BW37" s="144"/>
      <c r="BX37" s="144"/>
      <c r="BY37" s="144"/>
      <c r="BZ37" s="144"/>
      <c r="CA37" s="144"/>
      <c r="CB37" s="144"/>
      <c r="CC37" s="144"/>
      <c r="CD37" s="144"/>
      <c r="CE37" s="144"/>
      <c r="CF37" s="144"/>
      <c r="CG37" s="144"/>
      <c r="CH37" s="144"/>
      <c r="CI37" s="144"/>
      <c r="CJ37" s="144"/>
      <c r="CK37" s="144"/>
      <c r="CL37" s="144"/>
      <c r="CM37" s="144"/>
      <c r="CN37" s="144"/>
      <c r="CO37" s="144"/>
      <c r="CP37" s="144"/>
      <c r="CQ37" s="144"/>
      <c r="CR37" s="144"/>
      <c r="CS37" s="144"/>
      <c r="CT37" s="144"/>
      <c r="CU37" s="144"/>
      <c r="CV37" s="144"/>
      <c r="CW37" s="144"/>
      <c r="CX37" s="145"/>
      <c r="CY37" s="139"/>
      <c r="CZ37" s="127">
        <f t="shared" si="2"/>
        <v>0</v>
      </c>
      <c r="DA37" s="129">
        <f t="shared" si="3"/>
        <v>0</v>
      </c>
      <c r="DB37" s="129">
        <f t="shared" si="4"/>
        <v>0</v>
      </c>
      <c r="DC37" s="129">
        <f t="shared" si="5"/>
        <v>0</v>
      </c>
      <c r="DD37" s="129">
        <f t="shared" si="6"/>
        <v>0</v>
      </c>
      <c r="DE37" s="129">
        <f t="shared" si="7"/>
        <v>0</v>
      </c>
      <c r="DF37" s="129">
        <f t="shared" si="8"/>
        <v>0</v>
      </c>
      <c r="DG37" s="129">
        <f t="shared" si="9"/>
        <v>0</v>
      </c>
      <c r="DH37" s="129">
        <f t="shared" si="10"/>
        <v>0</v>
      </c>
      <c r="DI37" s="139"/>
    </row>
    <row r="38" ht="22.5" customHeight="1">
      <c r="A38" s="140" t="str">
        <f t="shared" si="1"/>
        <v>|</v>
      </c>
      <c r="B38" s="141"/>
      <c r="C38" s="142"/>
      <c r="D38" s="143"/>
      <c r="E38" s="143"/>
      <c r="F38" s="143"/>
      <c r="G38" s="144"/>
      <c r="H38" s="144"/>
      <c r="I38" s="144"/>
      <c r="J38" s="145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144"/>
      <c r="AG38" s="144"/>
      <c r="AH38" s="144"/>
      <c r="AI38" s="144"/>
      <c r="AJ38" s="144"/>
      <c r="AK38" s="144"/>
      <c r="AL38" s="144"/>
      <c r="AM38" s="144"/>
      <c r="AN38" s="144"/>
      <c r="AO38" s="144"/>
      <c r="AP38" s="144"/>
      <c r="AQ38" s="144"/>
      <c r="AR38" s="144"/>
      <c r="AS38" s="144"/>
      <c r="AT38" s="144"/>
      <c r="AU38" s="144"/>
      <c r="AV38" s="144"/>
      <c r="AW38" s="144"/>
      <c r="AX38" s="144"/>
      <c r="AY38" s="144"/>
      <c r="AZ38" s="144"/>
      <c r="BA38" s="144"/>
      <c r="BB38" s="144"/>
      <c r="BC38" s="144"/>
      <c r="BD38" s="144"/>
      <c r="BE38" s="144"/>
      <c r="BF38" s="144"/>
      <c r="BG38" s="144"/>
      <c r="BH38" s="144"/>
      <c r="BI38" s="144"/>
      <c r="BJ38" s="144"/>
      <c r="BK38" s="144"/>
      <c r="BL38" s="144"/>
      <c r="BM38" s="144"/>
      <c r="BN38" s="144"/>
      <c r="BO38" s="144"/>
      <c r="BP38" s="144"/>
      <c r="BQ38" s="144"/>
      <c r="BR38" s="144"/>
      <c r="BS38" s="144"/>
      <c r="BT38" s="144"/>
      <c r="BU38" s="144"/>
      <c r="BV38" s="144"/>
      <c r="BW38" s="144"/>
      <c r="BX38" s="144"/>
      <c r="BY38" s="144"/>
      <c r="BZ38" s="144"/>
      <c r="CA38" s="144"/>
      <c r="CB38" s="144"/>
      <c r="CC38" s="144"/>
      <c r="CD38" s="144"/>
      <c r="CE38" s="144"/>
      <c r="CF38" s="144"/>
      <c r="CG38" s="144"/>
      <c r="CH38" s="144"/>
      <c r="CI38" s="144"/>
      <c r="CJ38" s="144"/>
      <c r="CK38" s="144"/>
      <c r="CL38" s="144"/>
      <c r="CM38" s="144"/>
      <c r="CN38" s="144"/>
      <c r="CO38" s="144"/>
      <c r="CP38" s="144"/>
      <c r="CQ38" s="144"/>
      <c r="CR38" s="144"/>
      <c r="CS38" s="144"/>
      <c r="CT38" s="144"/>
      <c r="CU38" s="144"/>
      <c r="CV38" s="144"/>
      <c r="CW38" s="144"/>
      <c r="CX38" s="145"/>
      <c r="CY38" s="139"/>
      <c r="CZ38" s="127">
        <f t="shared" si="2"/>
        <v>0</v>
      </c>
      <c r="DA38" s="129">
        <f t="shared" si="3"/>
        <v>0</v>
      </c>
      <c r="DB38" s="129">
        <f t="shared" si="4"/>
        <v>0</v>
      </c>
      <c r="DC38" s="129">
        <f t="shared" si="5"/>
        <v>0</v>
      </c>
      <c r="DD38" s="129">
        <f t="shared" si="6"/>
        <v>0</v>
      </c>
      <c r="DE38" s="129">
        <f t="shared" si="7"/>
        <v>0</v>
      </c>
      <c r="DF38" s="129">
        <f t="shared" si="8"/>
        <v>0</v>
      </c>
      <c r="DG38" s="129">
        <f t="shared" si="9"/>
        <v>0</v>
      </c>
      <c r="DH38" s="129">
        <f t="shared" si="10"/>
        <v>0</v>
      </c>
      <c r="DI38" s="139"/>
    </row>
    <row r="39" ht="22.5" customHeight="1">
      <c r="A39" s="140" t="str">
        <f t="shared" si="1"/>
        <v>|</v>
      </c>
      <c r="B39" s="141"/>
      <c r="C39" s="142"/>
      <c r="D39" s="143"/>
      <c r="E39" s="143"/>
      <c r="F39" s="143"/>
      <c r="G39" s="144"/>
      <c r="H39" s="144"/>
      <c r="I39" s="144"/>
      <c r="J39" s="145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4"/>
      <c r="AM39" s="144"/>
      <c r="AN39" s="144"/>
      <c r="AO39" s="144"/>
      <c r="AP39" s="144"/>
      <c r="AQ39" s="144"/>
      <c r="AR39" s="144"/>
      <c r="AS39" s="144"/>
      <c r="AT39" s="144"/>
      <c r="AU39" s="144"/>
      <c r="AV39" s="144"/>
      <c r="AW39" s="144"/>
      <c r="AX39" s="144"/>
      <c r="AY39" s="144"/>
      <c r="AZ39" s="144"/>
      <c r="BA39" s="144"/>
      <c r="BB39" s="144"/>
      <c r="BC39" s="144"/>
      <c r="BD39" s="144"/>
      <c r="BE39" s="144"/>
      <c r="BF39" s="144"/>
      <c r="BG39" s="144"/>
      <c r="BH39" s="144"/>
      <c r="BI39" s="144"/>
      <c r="BJ39" s="144"/>
      <c r="BK39" s="144"/>
      <c r="BL39" s="144"/>
      <c r="BM39" s="144"/>
      <c r="BN39" s="144"/>
      <c r="BO39" s="144"/>
      <c r="BP39" s="144"/>
      <c r="BQ39" s="144"/>
      <c r="BR39" s="144"/>
      <c r="BS39" s="144"/>
      <c r="BT39" s="144"/>
      <c r="BU39" s="144"/>
      <c r="BV39" s="144"/>
      <c r="BW39" s="144"/>
      <c r="BX39" s="144"/>
      <c r="BY39" s="144"/>
      <c r="BZ39" s="144"/>
      <c r="CA39" s="144"/>
      <c r="CB39" s="144"/>
      <c r="CC39" s="144"/>
      <c r="CD39" s="144"/>
      <c r="CE39" s="144"/>
      <c r="CF39" s="144"/>
      <c r="CG39" s="144"/>
      <c r="CH39" s="144"/>
      <c r="CI39" s="144"/>
      <c r="CJ39" s="144"/>
      <c r="CK39" s="144"/>
      <c r="CL39" s="144"/>
      <c r="CM39" s="144"/>
      <c r="CN39" s="144"/>
      <c r="CO39" s="144"/>
      <c r="CP39" s="144"/>
      <c r="CQ39" s="144"/>
      <c r="CR39" s="144"/>
      <c r="CS39" s="144"/>
      <c r="CT39" s="144"/>
      <c r="CU39" s="144"/>
      <c r="CV39" s="144"/>
      <c r="CW39" s="144"/>
      <c r="CX39" s="145"/>
      <c r="CY39" s="139"/>
      <c r="CZ39" s="127">
        <f t="shared" si="2"/>
        <v>0</v>
      </c>
      <c r="DA39" s="129">
        <f t="shared" si="3"/>
        <v>0</v>
      </c>
      <c r="DB39" s="129">
        <f t="shared" si="4"/>
        <v>0</v>
      </c>
      <c r="DC39" s="129">
        <f t="shared" si="5"/>
        <v>0</v>
      </c>
      <c r="DD39" s="129">
        <f t="shared" si="6"/>
        <v>0</v>
      </c>
      <c r="DE39" s="129">
        <f t="shared" si="7"/>
        <v>0</v>
      </c>
      <c r="DF39" s="129">
        <f t="shared" si="8"/>
        <v>0</v>
      </c>
      <c r="DG39" s="129">
        <f t="shared" si="9"/>
        <v>0</v>
      </c>
      <c r="DH39" s="129">
        <f t="shared" si="10"/>
        <v>0</v>
      </c>
      <c r="DI39" s="139"/>
    </row>
    <row r="40" ht="22.5" customHeight="1">
      <c r="A40" s="140" t="str">
        <f t="shared" si="1"/>
        <v>|</v>
      </c>
      <c r="B40" s="141"/>
      <c r="C40" s="142"/>
      <c r="D40" s="143"/>
      <c r="E40" s="143"/>
      <c r="F40" s="143"/>
      <c r="G40" s="144"/>
      <c r="H40" s="144"/>
      <c r="I40" s="144"/>
      <c r="J40" s="145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144"/>
      <c r="AG40" s="144"/>
      <c r="AH40" s="144"/>
      <c r="AI40" s="144"/>
      <c r="AJ40" s="144"/>
      <c r="AK40" s="144"/>
      <c r="AL40" s="144"/>
      <c r="AM40" s="144"/>
      <c r="AN40" s="144"/>
      <c r="AO40" s="144"/>
      <c r="AP40" s="144"/>
      <c r="AQ40" s="144"/>
      <c r="AR40" s="144"/>
      <c r="AS40" s="144"/>
      <c r="AT40" s="144"/>
      <c r="AU40" s="144"/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4"/>
      <c r="BK40" s="144"/>
      <c r="BL40" s="144"/>
      <c r="BM40" s="144"/>
      <c r="BN40" s="144"/>
      <c r="BO40" s="144"/>
      <c r="BP40" s="144"/>
      <c r="BQ40" s="144"/>
      <c r="BR40" s="144"/>
      <c r="BS40" s="144"/>
      <c r="BT40" s="144"/>
      <c r="BU40" s="144"/>
      <c r="BV40" s="144"/>
      <c r="BW40" s="144"/>
      <c r="BX40" s="144"/>
      <c r="BY40" s="144"/>
      <c r="BZ40" s="144"/>
      <c r="CA40" s="144"/>
      <c r="CB40" s="144"/>
      <c r="CC40" s="144"/>
      <c r="CD40" s="144"/>
      <c r="CE40" s="144"/>
      <c r="CF40" s="144"/>
      <c r="CG40" s="144"/>
      <c r="CH40" s="144"/>
      <c r="CI40" s="144"/>
      <c r="CJ40" s="144"/>
      <c r="CK40" s="144"/>
      <c r="CL40" s="144"/>
      <c r="CM40" s="144"/>
      <c r="CN40" s="144"/>
      <c r="CO40" s="144"/>
      <c r="CP40" s="144"/>
      <c r="CQ40" s="144"/>
      <c r="CR40" s="144"/>
      <c r="CS40" s="144"/>
      <c r="CT40" s="144"/>
      <c r="CU40" s="144"/>
      <c r="CV40" s="144"/>
      <c r="CW40" s="144"/>
      <c r="CX40" s="145"/>
      <c r="CY40" s="139"/>
      <c r="CZ40" s="127">
        <f t="shared" si="2"/>
        <v>0</v>
      </c>
      <c r="DA40" s="129">
        <f t="shared" si="3"/>
        <v>0</v>
      </c>
      <c r="DB40" s="129">
        <f t="shared" si="4"/>
        <v>0</v>
      </c>
      <c r="DC40" s="129">
        <f t="shared" si="5"/>
        <v>0</v>
      </c>
      <c r="DD40" s="129">
        <f t="shared" si="6"/>
        <v>0</v>
      </c>
      <c r="DE40" s="129">
        <f t="shared" si="7"/>
        <v>0</v>
      </c>
      <c r="DF40" s="129">
        <f t="shared" si="8"/>
        <v>0</v>
      </c>
      <c r="DG40" s="129">
        <f t="shared" si="9"/>
        <v>0</v>
      </c>
      <c r="DH40" s="129">
        <f t="shared" si="10"/>
        <v>0</v>
      </c>
      <c r="DI40" s="139"/>
    </row>
    <row r="41" ht="22.5" customHeight="1">
      <c r="A41" s="140" t="str">
        <f t="shared" si="1"/>
        <v>|</v>
      </c>
      <c r="B41" s="141"/>
      <c r="C41" s="142"/>
      <c r="D41" s="143"/>
      <c r="E41" s="143"/>
      <c r="F41" s="143"/>
      <c r="G41" s="144"/>
      <c r="H41" s="144"/>
      <c r="I41" s="144"/>
      <c r="J41" s="145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4"/>
      <c r="AM41" s="144"/>
      <c r="AN41" s="144"/>
      <c r="AO41" s="144"/>
      <c r="AP41" s="144"/>
      <c r="AQ41" s="144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44"/>
      <c r="BK41" s="144"/>
      <c r="BL41" s="144"/>
      <c r="BM41" s="144"/>
      <c r="BN41" s="144"/>
      <c r="BO41" s="144"/>
      <c r="BP41" s="144"/>
      <c r="BQ41" s="144"/>
      <c r="BR41" s="144"/>
      <c r="BS41" s="144"/>
      <c r="BT41" s="144"/>
      <c r="BU41" s="144"/>
      <c r="BV41" s="144"/>
      <c r="BW41" s="144"/>
      <c r="BX41" s="144"/>
      <c r="BY41" s="144"/>
      <c r="BZ41" s="144"/>
      <c r="CA41" s="144"/>
      <c r="CB41" s="144"/>
      <c r="CC41" s="144"/>
      <c r="CD41" s="144"/>
      <c r="CE41" s="144"/>
      <c r="CF41" s="144"/>
      <c r="CG41" s="144"/>
      <c r="CH41" s="144"/>
      <c r="CI41" s="144"/>
      <c r="CJ41" s="144"/>
      <c r="CK41" s="144"/>
      <c r="CL41" s="144"/>
      <c r="CM41" s="144"/>
      <c r="CN41" s="144"/>
      <c r="CO41" s="144"/>
      <c r="CP41" s="144"/>
      <c r="CQ41" s="144"/>
      <c r="CR41" s="144"/>
      <c r="CS41" s="144"/>
      <c r="CT41" s="144"/>
      <c r="CU41" s="144"/>
      <c r="CV41" s="144"/>
      <c r="CW41" s="144"/>
      <c r="CX41" s="145"/>
      <c r="CY41" s="139"/>
      <c r="CZ41" s="127">
        <f t="shared" si="2"/>
        <v>0</v>
      </c>
      <c r="DA41" s="129">
        <f t="shared" si="3"/>
        <v>0</v>
      </c>
      <c r="DB41" s="129">
        <f t="shared" si="4"/>
        <v>0</v>
      </c>
      <c r="DC41" s="129">
        <f t="shared" si="5"/>
        <v>0</v>
      </c>
      <c r="DD41" s="129">
        <f t="shared" si="6"/>
        <v>0</v>
      </c>
      <c r="DE41" s="129">
        <f t="shared" si="7"/>
        <v>0</v>
      </c>
      <c r="DF41" s="129">
        <f t="shared" si="8"/>
        <v>0</v>
      </c>
      <c r="DG41" s="129">
        <f t="shared" si="9"/>
        <v>0</v>
      </c>
      <c r="DH41" s="129">
        <f t="shared" si="10"/>
        <v>0</v>
      </c>
      <c r="DI41" s="139"/>
    </row>
    <row r="42" ht="22.5" customHeight="1">
      <c r="A42" s="140" t="str">
        <f t="shared" si="1"/>
        <v>|</v>
      </c>
      <c r="B42" s="141"/>
      <c r="C42" s="142"/>
      <c r="D42" s="143"/>
      <c r="E42" s="143"/>
      <c r="F42" s="143"/>
      <c r="G42" s="144"/>
      <c r="H42" s="144"/>
      <c r="I42" s="144"/>
      <c r="J42" s="145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144"/>
      <c r="BE42" s="144"/>
      <c r="BF42" s="144"/>
      <c r="BG42" s="144"/>
      <c r="BH42" s="144"/>
      <c r="BI42" s="144"/>
      <c r="BJ42" s="144"/>
      <c r="BK42" s="144"/>
      <c r="BL42" s="144"/>
      <c r="BM42" s="144"/>
      <c r="BN42" s="144"/>
      <c r="BO42" s="144"/>
      <c r="BP42" s="144"/>
      <c r="BQ42" s="144"/>
      <c r="BR42" s="144"/>
      <c r="BS42" s="144"/>
      <c r="BT42" s="144"/>
      <c r="BU42" s="144"/>
      <c r="BV42" s="144"/>
      <c r="BW42" s="144"/>
      <c r="BX42" s="144"/>
      <c r="BY42" s="144"/>
      <c r="BZ42" s="144"/>
      <c r="CA42" s="144"/>
      <c r="CB42" s="144"/>
      <c r="CC42" s="144"/>
      <c r="CD42" s="144"/>
      <c r="CE42" s="144"/>
      <c r="CF42" s="144"/>
      <c r="CG42" s="144"/>
      <c r="CH42" s="144"/>
      <c r="CI42" s="144"/>
      <c r="CJ42" s="144"/>
      <c r="CK42" s="144"/>
      <c r="CL42" s="144"/>
      <c r="CM42" s="144"/>
      <c r="CN42" s="144"/>
      <c r="CO42" s="144"/>
      <c r="CP42" s="144"/>
      <c r="CQ42" s="144"/>
      <c r="CR42" s="144"/>
      <c r="CS42" s="144"/>
      <c r="CT42" s="144"/>
      <c r="CU42" s="144"/>
      <c r="CV42" s="144"/>
      <c r="CW42" s="144"/>
      <c r="CX42" s="145"/>
      <c r="CY42" s="139"/>
      <c r="CZ42" s="127">
        <f t="shared" si="2"/>
        <v>0</v>
      </c>
      <c r="DA42" s="129">
        <f t="shared" si="3"/>
        <v>0</v>
      </c>
      <c r="DB42" s="129">
        <f t="shared" si="4"/>
        <v>0</v>
      </c>
      <c r="DC42" s="129">
        <f t="shared" si="5"/>
        <v>0</v>
      </c>
      <c r="DD42" s="129">
        <f t="shared" si="6"/>
        <v>0</v>
      </c>
      <c r="DE42" s="129">
        <f t="shared" si="7"/>
        <v>0</v>
      </c>
      <c r="DF42" s="129">
        <f t="shared" si="8"/>
        <v>0</v>
      </c>
      <c r="DG42" s="129">
        <f t="shared" si="9"/>
        <v>0</v>
      </c>
      <c r="DH42" s="129">
        <f t="shared" si="10"/>
        <v>0</v>
      </c>
      <c r="DI42" s="139"/>
    </row>
    <row r="43" ht="22.5" customHeight="1">
      <c r="A43" s="140" t="str">
        <f t="shared" si="1"/>
        <v>|</v>
      </c>
      <c r="B43" s="141"/>
      <c r="C43" s="142"/>
      <c r="D43" s="143"/>
      <c r="E43" s="143"/>
      <c r="F43" s="143"/>
      <c r="G43" s="144"/>
      <c r="H43" s="144"/>
      <c r="I43" s="144"/>
      <c r="J43" s="145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  <c r="AA43" s="144"/>
      <c r="AB43" s="144"/>
      <c r="AC43" s="144"/>
      <c r="AD43" s="144"/>
      <c r="AE43" s="144"/>
      <c r="AF43" s="144"/>
      <c r="AG43" s="144"/>
      <c r="AH43" s="144"/>
      <c r="AI43" s="144"/>
      <c r="AJ43" s="144"/>
      <c r="AK43" s="144"/>
      <c r="AL43" s="144"/>
      <c r="AM43" s="144"/>
      <c r="AN43" s="144"/>
      <c r="AO43" s="144"/>
      <c r="AP43" s="144"/>
      <c r="AQ43" s="144"/>
      <c r="AR43" s="144"/>
      <c r="AS43" s="144"/>
      <c r="AT43" s="144"/>
      <c r="AU43" s="144"/>
      <c r="AV43" s="144"/>
      <c r="AW43" s="144"/>
      <c r="AX43" s="144"/>
      <c r="AY43" s="144"/>
      <c r="AZ43" s="144"/>
      <c r="BA43" s="144"/>
      <c r="BB43" s="144"/>
      <c r="BC43" s="144"/>
      <c r="BD43" s="144"/>
      <c r="BE43" s="144"/>
      <c r="BF43" s="144"/>
      <c r="BG43" s="144"/>
      <c r="BH43" s="144"/>
      <c r="BI43" s="144"/>
      <c r="BJ43" s="144"/>
      <c r="BK43" s="144"/>
      <c r="BL43" s="144"/>
      <c r="BM43" s="144"/>
      <c r="BN43" s="144"/>
      <c r="BO43" s="144"/>
      <c r="BP43" s="144"/>
      <c r="BQ43" s="144"/>
      <c r="BR43" s="144"/>
      <c r="BS43" s="144"/>
      <c r="BT43" s="144"/>
      <c r="BU43" s="144"/>
      <c r="BV43" s="144"/>
      <c r="BW43" s="144"/>
      <c r="BX43" s="144"/>
      <c r="BY43" s="144"/>
      <c r="BZ43" s="144"/>
      <c r="CA43" s="144"/>
      <c r="CB43" s="144"/>
      <c r="CC43" s="144"/>
      <c r="CD43" s="144"/>
      <c r="CE43" s="144"/>
      <c r="CF43" s="144"/>
      <c r="CG43" s="144"/>
      <c r="CH43" s="144"/>
      <c r="CI43" s="144"/>
      <c r="CJ43" s="144"/>
      <c r="CK43" s="144"/>
      <c r="CL43" s="144"/>
      <c r="CM43" s="144"/>
      <c r="CN43" s="144"/>
      <c r="CO43" s="144"/>
      <c r="CP43" s="144"/>
      <c r="CQ43" s="144"/>
      <c r="CR43" s="144"/>
      <c r="CS43" s="144"/>
      <c r="CT43" s="144"/>
      <c r="CU43" s="144"/>
      <c r="CV43" s="144"/>
      <c r="CW43" s="144"/>
      <c r="CX43" s="145"/>
      <c r="CY43" s="139"/>
      <c r="CZ43" s="127">
        <f t="shared" si="2"/>
        <v>0</v>
      </c>
      <c r="DA43" s="129">
        <f t="shared" si="3"/>
        <v>0</v>
      </c>
      <c r="DB43" s="129">
        <f t="shared" si="4"/>
        <v>0</v>
      </c>
      <c r="DC43" s="129">
        <f t="shared" si="5"/>
        <v>0</v>
      </c>
      <c r="DD43" s="129">
        <f t="shared" si="6"/>
        <v>0</v>
      </c>
      <c r="DE43" s="129">
        <f t="shared" si="7"/>
        <v>0</v>
      </c>
      <c r="DF43" s="129">
        <f t="shared" si="8"/>
        <v>0</v>
      </c>
      <c r="DG43" s="129">
        <f t="shared" si="9"/>
        <v>0</v>
      </c>
      <c r="DH43" s="129">
        <f t="shared" si="10"/>
        <v>0</v>
      </c>
      <c r="DI43" s="139"/>
    </row>
    <row r="44" ht="22.5" customHeight="1">
      <c r="A44" s="140" t="str">
        <f t="shared" si="1"/>
        <v>|</v>
      </c>
      <c r="B44" s="141"/>
      <c r="C44" s="142"/>
      <c r="D44" s="143"/>
      <c r="E44" s="143"/>
      <c r="F44" s="143"/>
      <c r="G44" s="144"/>
      <c r="H44" s="144"/>
      <c r="I44" s="144"/>
      <c r="J44" s="145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4"/>
      <c r="AM44" s="144"/>
      <c r="AN44" s="144"/>
      <c r="AO44" s="144"/>
      <c r="AP44" s="144"/>
      <c r="AQ44" s="144"/>
      <c r="AR44" s="144"/>
      <c r="AS44" s="144"/>
      <c r="AT44" s="144"/>
      <c r="AU44" s="144"/>
      <c r="AV44" s="144"/>
      <c r="AW44" s="144"/>
      <c r="AX44" s="144"/>
      <c r="AY44" s="144"/>
      <c r="AZ44" s="144"/>
      <c r="BA44" s="144"/>
      <c r="BB44" s="144"/>
      <c r="BC44" s="144"/>
      <c r="BD44" s="144"/>
      <c r="BE44" s="144"/>
      <c r="BF44" s="144"/>
      <c r="BG44" s="144"/>
      <c r="BH44" s="144"/>
      <c r="BI44" s="144"/>
      <c r="BJ44" s="144"/>
      <c r="BK44" s="144"/>
      <c r="BL44" s="144"/>
      <c r="BM44" s="144"/>
      <c r="BN44" s="144"/>
      <c r="BO44" s="144"/>
      <c r="BP44" s="144"/>
      <c r="BQ44" s="144"/>
      <c r="BR44" s="144"/>
      <c r="BS44" s="144"/>
      <c r="BT44" s="144"/>
      <c r="BU44" s="144"/>
      <c r="BV44" s="144"/>
      <c r="BW44" s="144"/>
      <c r="BX44" s="144"/>
      <c r="BY44" s="144"/>
      <c r="BZ44" s="144"/>
      <c r="CA44" s="144"/>
      <c r="CB44" s="144"/>
      <c r="CC44" s="144"/>
      <c r="CD44" s="144"/>
      <c r="CE44" s="144"/>
      <c r="CF44" s="144"/>
      <c r="CG44" s="144"/>
      <c r="CH44" s="144"/>
      <c r="CI44" s="144"/>
      <c r="CJ44" s="144"/>
      <c r="CK44" s="144"/>
      <c r="CL44" s="144"/>
      <c r="CM44" s="144"/>
      <c r="CN44" s="144"/>
      <c r="CO44" s="144"/>
      <c r="CP44" s="144"/>
      <c r="CQ44" s="144"/>
      <c r="CR44" s="144"/>
      <c r="CS44" s="144"/>
      <c r="CT44" s="144"/>
      <c r="CU44" s="144"/>
      <c r="CV44" s="144"/>
      <c r="CW44" s="144"/>
      <c r="CX44" s="145"/>
      <c r="CY44" s="139"/>
      <c r="CZ44" s="127">
        <f t="shared" si="2"/>
        <v>0</v>
      </c>
      <c r="DA44" s="129">
        <f t="shared" si="3"/>
        <v>0</v>
      </c>
      <c r="DB44" s="129">
        <f t="shared" si="4"/>
        <v>0</v>
      </c>
      <c r="DC44" s="129">
        <f t="shared" si="5"/>
        <v>0</v>
      </c>
      <c r="DD44" s="129">
        <f t="shared" si="6"/>
        <v>0</v>
      </c>
      <c r="DE44" s="129">
        <f t="shared" si="7"/>
        <v>0</v>
      </c>
      <c r="DF44" s="129">
        <f t="shared" si="8"/>
        <v>0</v>
      </c>
      <c r="DG44" s="129">
        <f t="shared" si="9"/>
        <v>0</v>
      </c>
      <c r="DH44" s="129">
        <f t="shared" si="10"/>
        <v>0</v>
      </c>
      <c r="DI44" s="139"/>
    </row>
    <row r="45" ht="22.5" customHeight="1">
      <c r="A45" s="140" t="str">
        <f t="shared" si="1"/>
        <v>|</v>
      </c>
      <c r="B45" s="141"/>
      <c r="C45" s="142"/>
      <c r="D45" s="143"/>
      <c r="E45" s="143"/>
      <c r="F45" s="143"/>
      <c r="G45" s="144"/>
      <c r="H45" s="144"/>
      <c r="I45" s="144"/>
      <c r="J45" s="145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4"/>
      <c r="AM45" s="144"/>
      <c r="AN45" s="144"/>
      <c r="AO45" s="144"/>
      <c r="AP45" s="144"/>
      <c r="AQ45" s="144"/>
      <c r="AR45" s="144"/>
      <c r="AS45" s="144"/>
      <c r="AT45" s="144"/>
      <c r="AU45" s="144"/>
      <c r="AV45" s="144"/>
      <c r="AW45" s="144"/>
      <c r="AX45" s="144"/>
      <c r="AY45" s="144"/>
      <c r="AZ45" s="144"/>
      <c r="BA45" s="144"/>
      <c r="BB45" s="144"/>
      <c r="BC45" s="144"/>
      <c r="BD45" s="144"/>
      <c r="BE45" s="144"/>
      <c r="BF45" s="144"/>
      <c r="BG45" s="144"/>
      <c r="BH45" s="144"/>
      <c r="BI45" s="144"/>
      <c r="BJ45" s="144"/>
      <c r="BK45" s="144"/>
      <c r="BL45" s="144"/>
      <c r="BM45" s="144"/>
      <c r="BN45" s="144"/>
      <c r="BO45" s="144"/>
      <c r="BP45" s="144"/>
      <c r="BQ45" s="144"/>
      <c r="BR45" s="144"/>
      <c r="BS45" s="144"/>
      <c r="BT45" s="144"/>
      <c r="BU45" s="144"/>
      <c r="BV45" s="144"/>
      <c r="BW45" s="144"/>
      <c r="BX45" s="144"/>
      <c r="BY45" s="144"/>
      <c r="BZ45" s="144"/>
      <c r="CA45" s="144"/>
      <c r="CB45" s="144"/>
      <c r="CC45" s="144"/>
      <c r="CD45" s="144"/>
      <c r="CE45" s="144"/>
      <c r="CF45" s="144"/>
      <c r="CG45" s="144"/>
      <c r="CH45" s="144"/>
      <c r="CI45" s="144"/>
      <c r="CJ45" s="144"/>
      <c r="CK45" s="144"/>
      <c r="CL45" s="144"/>
      <c r="CM45" s="144"/>
      <c r="CN45" s="144"/>
      <c r="CO45" s="144"/>
      <c r="CP45" s="144"/>
      <c r="CQ45" s="144"/>
      <c r="CR45" s="144"/>
      <c r="CS45" s="144"/>
      <c r="CT45" s="144"/>
      <c r="CU45" s="144"/>
      <c r="CV45" s="144"/>
      <c r="CW45" s="144"/>
      <c r="CX45" s="145"/>
      <c r="CY45" s="139"/>
      <c r="CZ45" s="127">
        <f t="shared" si="2"/>
        <v>0</v>
      </c>
      <c r="DA45" s="129">
        <f t="shared" si="3"/>
        <v>0</v>
      </c>
      <c r="DB45" s="129">
        <f t="shared" si="4"/>
        <v>0</v>
      </c>
      <c r="DC45" s="129">
        <f t="shared" si="5"/>
        <v>0</v>
      </c>
      <c r="DD45" s="129">
        <f t="shared" si="6"/>
        <v>0</v>
      </c>
      <c r="DE45" s="129">
        <f t="shared" si="7"/>
        <v>0</v>
      </c>
      <c r="DF45" s="129">
        <f t="shared" si="8"/>
        <v>0</v>
      </c>
      <c r="DG45" s="129">
        <f t="shared" si="9"/>
        <v>0</v>
      </c>
      <c r="DH45" s="129">
        <f t="shared" si="10"/>
        <v>0</v>
      </c>
      <c r="DI45" s="139"/>
    </row>
    <row r="46" ht="22.5" customHeight="1">
      <c r="A46" s="140" t="str">
        <f t="shared" si="1"/>
        <v>|</v>
      </c>
      <c r="B46" s="141"/>
      <c r="C46" s="142"/>
      <c r="D46" s="143"/>
      <c r="E46" s="143"/>
      <c r="F46" s="143"/>
      <c r="G46" s="144"/>
      <c r="H46" s="144"/>
      <c r="I46" s="144"/>
      <c r="J46" s="145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4"/>
      <c r="AM46" s="144"/>
      <c r="AN46" s="144"/>
      <c r="AO46" s="144"/>
      <c r="AP46" s="144"/>
      <c r="AQ46" s="144"/>
      <c r="AR46" s="144"/>
      <c r="AS46" s="144"/>
      <c r="AT46" s="144"/>
      <c r="AU46" s="144"/>
      <c r="AV46" s="144"/>
      <c r="AW46" s="144"/>
      <c r="AX46" s="144"/>
      <c r="AY46" s="144"/>
      <c r="AZ46" s="144"/>
      <c r="BA46" s="144"/>
      <c r="BB46" s="144"/>
      <c r="BC46" s="144"/>
      <c r="BD46" s="144"/>
      <c r="BE46" s="144"/>
      <c r="BF46" s="144"/>
      <c r="BG46" s="144"/>
      <c r="BH46" s="144"/>
      <c r="BI46" s="144"/>
      <c r="BJ46" s="144"/>
      <c r="BK46" s="144"/>
      <c r="BL46" s="144"/>
      <c r="BM46" s="144"/>
      <c r="BN46" s="144"/>
      <c r="BO46" s="144"/>
      <c r="BP46" s="144"/>
      <c r="BQ46" s="144"/>
      <c r="BR46" s="144"/>
      <c r="BS46" s="144"/>
      <c r="BT46" s="144"/>
      <c r="BU46" s="144"/>
      <c r="BV46" s="144"/>
      <c r="BW46" s="144"/>
      <c r="BX46" s="144"/>
      <c r="BY46" s="144"/>
      <c r="BZ46" s="144"/>
      <c r="CA46" s="144"/>
      <c r="CB46" s="144"/>
      <c r="CC46" s="144"/>
      <c r="CD46" s="144"/>
      <c r="CE46" s="144"/>
      <c r="CF46" s="144"/>
      <c r="CG46" s="144"/>
      <c r="CH46" s="144"/>
      <c r="CI46" s="144"/>
      <c r="CJ46" s="144"/>
      <c r="CK46" s="144"/>
      <c r="CL46" s="144"/>
      <c r="CM46" s="144"/>
      <c r="CN46" s="144"/>
      <c r="CO46" s="144"/>
      <c r="CP46" s="144"/>
      <c r="CQ46" s="144"/>
      <c r="CR46" s="144"/>
      <c r="CS46" s="144"/>
      <c r="CT46" s="144"/>
      <c r="CU46" s="144"/>
      <c r="CV46" s="144"/>
      <c r="CW46" s="144"/>
      <c r="CX46" s="145"/>
      <c r="CY46" s="139"/>
      <c r="CZ46" s="127">
        <f t="shared" si="2"/>
        <v>0</v>
      </c>
      <c r="DA46" s="129">
        <f t="shared" si="3"/>
        <v>0</v>
      </c>
      <c r="DB46" s="129">
        <f t="shared" si="4"/>
        <v>0</v>
      </c>
      <c r="DC46" s="129">
        <f t="shared" si="5"/>
        <v>0</v>
      </c>
      <c r="DD46" s="129">
        <f t="shared" si="6"/>
        <v>0</v>
      </c>
      <c r="DE46" s="129">
        <f t="shared" si="7"/>
        <v>0</v>
      </c>
      <c r="DF46" s="129">
        <f t="shared" si="8"/>
        <v>0</v>
      </c>
      <c r="DG46" s="129">
        <f t="shared" si="9"/>
        <v>0</v>
      </c>
      <c r="DH46" s="129">
        <f t="shared" si="10"/>
        <v>0</v>
      </c>
      <c r="DI46" s="139"/>
    </row>
    <row r="47" ht="22.5" customHeight="1">
      <c r="A47" s="140" t="str">
        <f t="shared" si="1"/>
        <v>|</v>
      </c>
      <c r="B47" s="141"/>
      <c r="C47" s="142"/>
      <c r="D47" s="143"/>
      <c r="E47" s="143"/>
      <c r="F47" s="143"/>
      <c r="G47" s="144"/>
      <c r="H47" s="144"/>
      <c r="I47" s="144"/>
      <c r="J47" s="145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4"/>
      <c r="AM47" s="144"/>
      <c r="AN47" s="144"/>
      <c r="AO47" s="144"/>
      <c r="AP47" s="144"/>
      <c r="AQ47" s="144"/>
      <c r="AR47" s="144"/>
      <c r="AS47" s="144"/>
      <c r="AT47" s="144"/>
      <c r="AU47" s="144"/>
      <c r="AV47" s="144"/>
      <c r="AW47" s="144"/>
      <c r="AX47" s="144"/>
      <c r="AY47" s="144"/>
      <c r="AZ47" s="144"/>
      <c r="BA47" s="144"/>
      <c r="BB47" s="144"/>
      <c r="BC47" s="144"/>
      <c r="BD47" s="144"/>
      <c r="BE47" s="144"/>
      <c r="BF47" s="144"/>
      <c r="BG47" s="144"/>
      <c r="BH47" s="144"/>
      <c r="BI47" s="144"/>
      <c r="BJ47" s="144"/>
      <c r="BK47" s="144"/>
      <c r="BL47" s="144"/>
      <c r="BM47" s="144"/>
      <c r="BN47" s="144"/>
      <c r="BO47" s="144"/>
      <c r="BP47" s="144"/>
      <c r="BQ47" s="144"/>
      <c r="BR47" s="144"/>
      <c r="BS47" s="144"/>
      <c r="BT47" s="144"/>
      <c r="BU47" s="144"/>
      <c r="BV47" s="144"/>
      <c r="BW47" s="144"/>
      <c r="BX47" s="144"/>
      <c r="BY47" s="144"/>
      <c r="BZ47" s="144"/>
      <c r="CA47" s="144"/>
      <c r="CB47" s="144"/>
      <c r="CC47" s="144"/>
      <c r="CD47" s="144"/>
      <c r="CE47" s="144"/>
      <c r="CF47" s="144"/>
      <c r="CG47" s="144"/>
      <c r="CH47" s="144"/>
      <c r="CI47" s="144"/>
      <c r="CJ47" s="144"/>
      <c r="CK47" s="144"/>
      <c r="CL47" s="144"/>
      <c r="CM47" s="144"/>
      <c r="CN47" s="144"/>
      <c r="CO47" s="144"/>
      <c r="CP47" s="144"/>
      <c r="CQ47" s="144"/>
      <c r="CR47" s="144"/>
      <c r="CS47" s="144"/>
      <c r="CT47" s="144"/>
      <c r="CU47" s="144"/>
      <c r="CV47" s="144"/>
      <c r="CW47" s="144"/>
      <c r="CX47" s="145"/>
      <c r="CY47" s="139"/>
      <c r="CZ47" s="127">
        <f t="shared" si="2"/>
        <v>0</v>
      </c>
      <c r="DA47" s="129">
        <f t="shared" si="3"/>
        <v>0</v>
      </c>
      <c r="DB47" s="129">
        <f t="shared" si="4"/>
        <v>0</v>
      </c>
      <c r="DC47" s="129">
        <f t="shared" si="5"/>
        <v>0</v>
      </c>
      <c r="DD47" s="129">
        <f t="shared" si="6"/>
        <v>0</v>
      </c>
      <c r="DE47" s="129">
        <f t="shared" si="7"/>
        <v>0</v>
      </c>
      <c r="DF47" s="129">
        <f t="shared" si="8"/>
        <v>0</v>
      </c>
      <c r="DG47" s="129">
        <f t="shared" si="9"/>
        <v>0</v>
      </c>
      <c r="DH47" s="129">
        <f t="shared" si="10"/>
        <v>0</v>
      </c>
      <c r="DI47" s="139"/>
    </row>
    <row r="48" ht="22.5" customHeight="1">
      <c r="A48" s="140" t="str">
        <f t="shared" si="1"/>
        <v>|</v>
      </c>
      <c r="B48" s="141"/>
      <c r="C48" s="142"/>
      <c r="D48" s="143"/>
      <c r="E48" s="143"/>
      <c r="F48" s="143"/>
      <c r="G48" s="144"/>
      <c r="H48" s="144"/>
      <c r="I48" s="144"/>
      <c r="J48" s="145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4"/>
      <c r="AX48" s="144"/>
      <c r="AY48" s="144"/>
      <c r="AZ48" s="144"/>
      <c r="BA48" s="144"/>
      <c r="BB48" s="144"/>
      <c r="BC48" s="144"/>
      <c r="BD48" s="144"/>
      <c r="BE48" s="144"/>
      <c r="BF48" s="144"/>
      <c r="BG48" s="144"/>
      <c r="BH48" s="144"/>
      <c r="BI48" s="144"/>
      <c r="BJ48" s="144"/>
      <c r="BK48" s="144"/>
      <c r="BL48" s="144"/>
      <c r="BM48" s="144"/>
      <c r="BN48" s="144"/>
      <c r="BO48" s="144"/>
      <c r="BP48" s="144"/>
      <c r="BQ48" s="144"/>
      <c r="BR48" s="144"/>
      <c r="BS48" s="144"/>
      <c r="BT48" s="144"/>
      <c r="BU48" s="144"/>
      <c r="BV48" s="144"/>
      <c r="BW48" s="144"/>
      <c r="BX48" s="144"/>
      <c r="BY48" s="144"/>
      <c r="BZ48" s="144"/>
      <c r="CA48" s="144"/>
      <c r="CB48" s="144"/>
      <c r="CC48" s="144"/>
      <c r="CD48" s="144"/>
      <c r="CE48" s="144"/>
      <c r="CF48" s="144"/>
      <c r="CG48" s="144"/>
      <c r="CH48" s="144"/>
      <c r="CI48" s="144"/>
      <c r="CJ48" s="144"/>
      <c r="CK48" s="144"/>
      <c r="CL48" s="144"/>
      <c r="CM48" s="144"/>
      <c r="CN48" s="144"/>
      <c r="CO48" s="144"/>
      <c r="CP48" s="144"/>
      <c r="CQ48" s="144"/>
      <c r="CR48" s="144"/>
      <c r="CS48" s="144"/>
      <c r="CT48" s="144"/>
      <c r="CU48" s="144"/>
      <c r="CV48" s="144"/>
      <c r="CW48" s="144"/>
      <c r="CX48" s="145"/>
      <c r="CY48" s="139"/>
      <c r="CZ48" s="127">
        <f t="shared" si="2"/>
        <v>0</v>
      </c>
      <c r="DA48" s="129">
        <f t="shared" si="3"/>
        <v>0</v>
      </c>
      <c r="DB48" s="129">
        <f t="shared" si="4"/>
        <v>0</v>
      </c>
      <c r="DC48" s="129">
        <f t="shared" si="5"/>
        <v>0</v>
      </c>
      <c r="DD48" s="129">
        <f t="shared" si="6"/>
        <v>0</v>
      </c>
      <c r="DE48" s="129">
        <f t="shared" si="7"/>
        <v>0</v>
      </c>
      <c r="DF48" s="129">
        <f t="shared" si="8"/>
        <v>0</v>
      </c>
      <c r="DG48" s="129">
        <f t="shared" si="9"/>
        <v>0</v>
      </c>
      <c r="DH48" s="129">
        <f t="shared" si="10"/>
        <v>0</v>
      </c>
      <c r="DI48" s="139"/>
    </row>
    <row r="49" ht="22.5" customHeight="1">
      <c r="A49" s="140" t="str">
        <f t="shared" si="1"/>
        <v>|</v>
      </c>
      <c r="B49" s="141"/>
      <c r="C49" s="142"/>
      <c r="D49" s="143"/>
      <c r="E49" s="143"/>
      <c r="F49" s="143"/>
      <c r="G49" s="144"/>
      <c r="H49" s="144"/>
      <c r="I49" s="144"/>
      <c r="J49" s="145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4"/>
      <c r="AM49" s="144"/>
      <c r="AN49" s="144"/>
      <c r="AO49" s="144"/>
      <c r="AP49" s="144"/>
      <c r="AQ49" s="144"/>
      <c r="AR49" s="144"/>
      <c r="AS49" s="144"/>
      <c r="AT49" s="144"/>
      <c r="AU49" s="144"/>
      <c r="AV49" s="144"/>
      <c r="AW49" s="144"/>
      <c r="AX49" s="144"/>
      <c r="AY49" s="144"/>
      <c r="AZ49" s="144"/>
      <c r="BA49" s="144"/>
      <c r="BB49" s="144"/>
      <c r="BC49" s="144"/>
      <c r="BD49" s="144"/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44"/>
      <c r="BQ49" s="144"/>
      <c r="BR49" s="144"/>
      <c r="BS49" s="144"/>
      <c r="BT49" s="144"/>
      <c r="BU49" s="144"/>
      <c r="BV49" s="144"/>
      <c r="BW49" s="144"/>
      <c r="BX49" s="144"/>
      <c r="BY49" s="144"/>
      <c r="BZ49" s="144"/>
      <c r="CA49" s="144"/>
      <c r="CB49" s="144"/>
      <c r="CC49" s="144"/>
      <c r="CD49" s="144"/>
      <c r="CE49" s="144"/>
      <c r="CF49" s="144"/>
      <c r="CG49" s="144"/>
      <c r="CH49" s="144"/>
      <c r="CI49" s="144"/>
      <c r="CJ49" s="144"/>
      <c r="CK49" s="144"/>
      <c r="CL49" s="144"/>
      <c r="CM49" s="144"/>
      <c r="CN49" s="144"/>
      <c r="CO49" s="144"/>
      <c r="CP49" s="144"/>
      <c r="CQ49" s="144"/>
      <c r="CR49" s="144"/>
      <c r="CS49" s="144"/>
      <c r="CT49" s="144"/>
      <c r="CU49" s="144"/>
      <c r="CV49" s="144"/>
      <c r="CW49" s="144"/>
      <c r="CX49" s="145"/>
      <c r="CY49" s="139"/>
      <c r="CZ49" s="127">
        <f t="shared" si="2"/>
        <v>0</v>
      </c>
      <c r="DA49" s="129">
        <f t="shared" si="3"/>
        <v>0</v>
      </c>
      <c r="DB49" s="129">
        <f t="shared" si="4"/>
        <v>0</v>
      </c>
      <c r="DC49" s="129">
        <f t="shared" si="5"/>
        <v>0</v>
      </c>
      <c r="DD49" s="129">
        <f t="shared" si="6"/>
        <v>0</v>
      </c>
      <c r="DE49" s="129">
        <f t="shared" si="7"/>
        <v>0</v>
      </c>
      <c r="DF49" s="129">
        <f t="shared" si="8"/>
        <v>0</v>
      </c>
      <c r="DG49" s="129">
        <f t="shared" si="9"/>
        <v>0</v>
      </c>
      <c r="DH49" s="129">
        <f t="shared" si="10"/>
        <v>0</v>
      </c>
      <c r="DI49" s="139"/>
    </row>
    <row r="50" ht="22.5" customHeight="1">
      <c r="A50" s="140" t="str">
        <f t="shared" si="1"/>
        <v>|</v>
      </c>
      <c r="B50" s="141"/>
      <c r="C50" s="142"/>
      <c r="D50" s="143"/>
      <c r="E50" s="143"/>
      <c r="F50" s="143"/>
      <c r="G50" s="144"/>
      <c r="H50" s="144"/>
      <c r="I50" s="144"/>
      <c r="J50" s="145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4"/>
      <c r="AX50" s="144"/>
      <c r="AY50" s="144"/>
      <c r="AZ50" s="144"/>
      <c r="BA50" s="144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44"/>
      <c r="BM50" s="144"/>
      <c r="BN50" s="144"/>
      <c r="BO50" s="144"/>
      <c r="BP50" s="144"/>
      <c r="BQ50" s="144"/>
      <c r="BR50" s="144"/>
      <c r="BS50" s="144"/>
      <c r="BT50" s="144"/>
      <c r="BU50" s="144"/>
      <c r="BV50" s="144"/>
      <c r="BW50" s="144"/>
      <c r="BX50" s="144"/>
      <c r="BY50" s="144"/>
      <c r="BZ50" s="144"/>
      <c r="CA50" s="144"/>
      <c r="CB50" s="144"/>
      <c r="CC50" s="144"/>
      <c r="CD50" s="144"/>
      <c r="CE50" s="144"/>
      <c r="CF50" s="144"/>
      <c r="CG50" s="144"/>
      <c r="CH50" s="144"/>
      <c r="CI50" s="144"/>
      <c r="CJ50" s="144"/>
      <c r="CK50" s="144"/>
      <c r="CL50" s="144"/>
      <c r="CM50" s="144"/>
      <c r="CN50" s="144"/>
      <c r="CO50" s="144"/>
      <c r="CP50" s="144"/>
      <c r="CQ50" s="144"/>
      <c r="CR50" s="144"/>
      <c r="CS50" s="144"/>
      <c r="CT50" s="144"/>
      <c r="CU50" s="144"/>
      <c r="CV50" s="144"/>
      <c r="CW50" s="144"/>
      <c r="CX50" s="145"/>
      <c r="CY50" s="139"/>
      <c r="CZ50" s="127">
        <f t="shared" si="2"/>
        <v>0</v>
      </c>
      <c r="DA50" s="129">
        <f t="shared" si="3"/>
        <v>0</v>
      </c>
      <c r="DB50" s="129">
        <f t="shared" si="4"/>
        <v>0</v>
      </c>
      <c r="DC50" s="129">
        <f t="shared" si="5"/>
        <v>0</v>
      </c>
      <c r="DD50" s="129">
        <f t="shared" si="6"/>
        <v>0</v>
      </c>
      <c r="DE50" s="129">
        <f t="shared" si="7"/>
        <v>0</v>
      </c>
      <c r="DF50" s="129">
        <f t="shared" si="8"/>
        <v>0</v>
      </c>
      <c r="DG50" s="129">
        <f t="shared" si="9"/>
        <v>0</v>
      </c>
      <c r="DH50" s="129">
        <f t="shared" si="10"/>
        <v>0</v>
      </c>
      <c r="DI50" s="139"/>
    </row>
    <row r="51" ht="22.5" customHeight="1">
      <c r="A51" s="140" t="str">
        <f t="shared" si="1"/>
        <v>|</v>
      </c>
      <c r="B51" s="141"/>
      <c r="C51" s="142"/>
      <c r="D51" s="143"/>
      <c r="E51" s="143"/>
      <c r="F51" s="143"/>
      <c r="G51" s="144"/>
      <c r="H51" s="144"/>
      <c r="I51" s="144"/>
      <c r="J51" s="145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4"/>
      <c r="AM51" s="144"/>
      <c r="AN51" s="144"/>
      <c r="AO51" s="144"/>
      <c r="AP51" s="144"/>
      <c r="AQ51" s="144"/>
      <c r="AR51" s="144"/>
      <c r="AS51" s="144"/>
      <c r="AT51" s="144"/>
      <c r="AU51" s="144"/>
      <c r="AV51" s="144"/>
      <c r="AW51" s="144"/>
      <c r="AX51" s="144"/>
      <c r="AY51" s="144"/>
      <c r="AZ51" s="144"/>
      <c r="BA51" s="144"/>
      <c r="BB51" s="144"/>
      <c r="BC51" s="144"/>
      <c r="BD51" s="144"/>
      <c r="BE51" s="144"/>
      <c r="BF51" s="144"/>
      <c r="BG51" s="144"/>
      <c r="BH51" s="144"/>
      <c r="BI51" s="144"/>
      <c r="BJ51" s="144"/>
      <c r="BK51" s="144"/>
      <c r="BL51" s="144"/>
      <c r="BM51" s="144"/>
      <c r="BN51" s="144"/>
      <c r="BO51" s="144"/>
      <c r="BP51" s="144"/>
      <c r="BQ51" s="144"/>
      <c r="BR51" s="144"/>
      <c r="BS51" s="144"/>
      <c r="BT51" s="144"/>
      <c r="BU51" s="144"/>
      <c r="BV51" s="144"/>
      <c r="BW51" s="144"/>
      <c r="BX51" s="144"/>
      <c r="BY51" s="144"/>
      <c r="BZ51" s="144"/>
      <c r="CA51" s="144"/>
      <c r="CB51" s="144"/>
      <c r="CC51" s="144"/>
      <c r="CD51" s="144"/>
      <c r="CE51" s="144"/>
      <c r="CF51" s="144"/>
      <c r="CG51" s="144"/>
      <c r="CH51" s="144"/>
      <c r="CI51" s="144"/>
      <c r="CJ51" s="144"/>
      <c r="CK51" s="144"/>
      <c r="CL51" s="144"/>
      <c r="CM51" s="144"/>
      <c r="CN51" s="144"/>
      <c r="CO51" s="144"/>
      <c r="CP51" s="144"/>
      <c r="CQ51" s="144"/>
      <c r="CR51" s="144"/>
      <c r="CS51" s="144"/>
      <c r="CT51" s="144"/>
      <c r="CU51" s="144"/>
      <c r="CV51" s="144"/>
      <c r="CW51" s="144"/>
      <c r="CX51" s="145"/>
      <c r="CY51" s="139"/>
      <c r="CZ51" s="127">
        <f t="shared" si="2"/>
        <v>0</v>
      </c>
      <c r="DA51" s="129">
        <f t="shared" si="3"/>
        <v>0</v>
      </c>
      <c r="DB51" s="129">
        <f t="shared" si="4"/>
        <v>0</v>
      </c>
      <c r="DC51" s="129">
        <f t="shared" si="5"/>
        <v>0</v>
      </c>
      <c r="DD51" s="129">
        <f t="shared" si="6"/>
        <v>0</v>
      </c>
      <c r="DE51" s="129">
        <f t="shared" si="7"/>
        <v>0</v>
      </c>
      <c r="DF51" s="129">
        <f t="shared" si="8"/>
        <v>0</v>
      </c>
      <c r="DG51" s="129">
        <f t="shared" si="9"/>
        <v>0</v>
      </c>
      <c r="DH51" s="129">
        <f t="shared" si="10"/>
        <v>0</v>
      </c>
      <c r="DI51" s="139"/>
    </row>
    <row r="52" ht="22.5" customHeight="1">
      <c r="A52" s="140" t="str">
        <f t="shared" si="1"/>
        <v>|</v>
      </c>
      <c r="B52" s="141"/>
      <c r="C52" s="142"/>
      <c r="D52" s="143"/>
      <c r="E52" s="143"/>
      <c r="F52" s="143"/>
      <c r="G52" s="144"/>
      <c r="H52" s="144"/>
      <c r="I52" s="144"/>
      <c r="J52" s="145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144"/>
      <c r="AR52" s="144"/>
      <c r="AS52" s="144"/>
      <c r="AT52" s="144"/>
      <c r="AU52" s="144"/>
      <c r="AV52" s="144"/>
      <c r="AW52" s="144"/>
      <c r="AX52" s="144"/>
      <c r="AY52" s="144"/>
      <c r="AZ52" s="144"/>
      <c r="BA52" s="144"/>
      <c r="BB52" s="144"/>
      <c r="BC52" s="144"/>
      <c r="BD52" s="144"/>
      <c r="BE52" s="144"/>
      <c r="BF52" s="144"/>
      <c r="BG52" s="144"/>
      <c r="BH52" s="144"/>
      <c r="BI52" s="144"/>
      <c r="BJ52" s="144"/>
      <c r="BK52" s="144"/>
      <c r="BL52" s="144"/>
      <c r="BM52" s="144"/>
      <c r="BN52" s="144"/>
      <c r="BO52" s="144"/>
      <c r="BP52" s="144"/>
      <c r="BQ52" s="144"/>
      <c r="BR52" s="144"/>
      <c r="BS52" s="144"/>
      <c r="BT52" s="144"/>
      <c r="BU52" s="144"/>
      <c r="BV52" s="144"/>
      <c r="BW52" s="144"/>
      <c r="BX52" s="144"/>
      <c r="BY52" s="144"/>
      <c r="BZ52" s="144"/>
      <c r="CA52" s="144"/>
      <c r="CB52" s="144"/>
      <c r="CC52" s="144"/>
      <c r="CD52" s="144"/>
      <c r="CE52" s="144"/>
      <c r="CF52" s="144"/>
      <c r="CG52" s="144"/>
      <c r="CH52" s="144"/>
      <c r="CI52" s="144"/>
      <c r="CJ52" s="144"/>
      <c r="CK52" s="144"/>
      <c r="CL52" s="144"/>
      <c r="CM52" s="144"/>
      <c r="CN52" s="144"/>
      <c r="CO52" s="144"/>
      <c r="CP52" s="144"/>
      <c r="CQ52" s="144"/>
      <c r="CR52" s="144"/>
      <c r="CS52" s="144"/>
      <c r="CT52" s="144"/>
      <c r="CU52" s="144"/>
      <c r="CV52" s="144"/>
      <c r="CW52" s="144"/>
      <c r="CX52" s="145"/>
      <c r="CY52" s="139"/>
      <c r="CZ52" s="127">
        <f t="shared" si="2"/>
        <v>0</v>
      </c>
      <c r="DA52" s="129">
        <f t="shared" si="3"/>
        <v>0</v>
      </c>
      <c r="DB52" s="129">
        <f t="shared" si="4"/>
        <v>0</v>
      </c>
      <c r="DC52" s="129">
        <f t="shared" si="5"/>
        <v>0</v>
      </c>
      <c r="DD52" s="129">
        <f t="shared" si="6"/>
        <v>0</v>
      </c>
      <c r="DE52" s="129">
        <f t="shared" si="7"/>
        <v>0</v>
      </c>
      <c r="DF52" s="129">
        <f t="shared" si="8"/>
        <v>0</v>
      </c>
      <c r="DG52" s="129">
        <f t="shared" si="9"/>
        <v>0</v>
      </c>
      <c r="DH52" s="129">
        <f t="shared" si="10"/>
        <v>0</v>
      </c>
      <c r="DI52" s="139"/>
    </row>
    <row r="53" ht="22.5" customHeight="1">
      <c r="A53" s="140" t="str">
        <f t="shared" si="1"/>
        <v>|</v>
      </c>
      <c r="B53" s="141"/>
      <c r="C53" s="142"/>
      <c r="D53" s="143"/>
      <c r="E53" s="143"/>
      <c r="F53" s="143"/>
      <c r="G53" s="144"/>
      <c r="H53" s="144"/>
      <c r="I53" s="144"/>
      <c r="J53" s="145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4"/>
      <c r="AM53" s="144"/>
      <c r="AN53" s="144"/>
      <c r="AO53" s="144"/>
      <c r="AP53" s="144"/>
      <c r="AQ53" s="144"/>
      <c r="AR53" s="144"/>
      <c r="AS53" s="144"/>
      <c r="AT53" s="144"/>
      <c r="AU53" s="144"/>
      <c r="AV53" s="144"/>
      <c r="AW53" s="144"/>
      <c r="AX53" s="144"/>
      <c r="AY53" s="144"/>
      <c r="AZ53" s="144"/>
      <c r="BA53" s="144"/>
      <c r="BB53" s="144"/>
      <c r="BC53" s="144"/>
      <c r="BD53" s="144"/>
      <c r="BE53" s="144"/>
      <c r="BF53" s="144"/>
      <c r="BG53" s="144"/>
      <c r="BH53" s="144"/>
      <c r="BI53" s="144"/>
      <c r="BJ53" s="144"/>
      <c r="BK53" s="144"/>
      <c r="BL53" s="144"/>
      <c r="BM53" s="144"/>
      <c r="BN53" s="144"/>
      <c r="BO53" s="144"/>
      <c r="BP53" s="144"/>
      <c r="BQ53" s="144"/>
      <c r="BR53" s="144"/>
      <c r="BS53" s="144"/>
      <c r="BT53" s="144"/>
      <c r="BU53" s="144"/>
      <c r="BV53" s="144"/>
      <c r="BW53" s="144"/>
      <c r="BX53" s="144"/>
      <c r="BY53" s="144"/>
      <c r="BZ53" s="144"/>
      <c r="CA53" s="144"/>
      <c r="CB53" s="144"/>
      <c r="CC53" s="144"/>
      <c r="CD53" s="144"/>
      <c r="CE53" s="144"/>
      <c r="CF53" s="144"/>
      <c r="CG53" s="144"/>
      <c r="CH53" s="144"/>
      <c r="CI53" s="144"/>
      <c r="CJ53" s="144"/>
      <c r="CK53" s="144"/>
      <c r="CL53" s="144"/>
      <c r="CM53" s="144"/>
      <c r="CN53" s="144"/>
      <c r="CO53" s="144"/>
      <c r="CP53" s="144"/>
      <c r="CQ53" s="144"/>
      <c r="CR53" s="144"/>
      <c r="CS53" s="144"/>
      <c r="CT53" s="144"/>
      <c r="CU53" s="144"/>
      <c r="CV53" s="144"/>
      <c r="CW53" s="144"/>
      <c r="CX53" s="145"/>
      <c r="CY53" s="139"/>
      <c r="CZ53" s="127">
        <f t="shared" si="2"/>
        <v>0</v>
      </c>
      <c r="DA53" s="129">
        <f t="shared" si="3"/>
        <v>0</v>
      </c>
      <c r="DB53" s="129">
        <f t="shared" si="4"/>
        <v>0</v>
      </c>
      <c r="DC53" s="129">
        <f t="shared" si="5"/>
        <v>0</v>
      </c>
      <c r="DD53" s="129">
        <f t="shared" si="6"/>
        <v>0</v>
      </c>
      <c r="DE53" s="129">
        <f t="shared" si="7"/>
        <v>0</v>
      </c>
      <c r="DF53" s="129">
        <f t="shared" si="8"/>
        <v>0</v>
      </c>
      <c r="DG53" s="129">
        <f t="shared" si="9"/>
        <v>0</v>
      </c>
      <c r="DH53" s="129">
        <f t="shared" si="10"/>
        <v>0</v>
      </c>
      <c r="DI53" s="139"/>
    </row>
    <row r="54" ht="22.5" customHeight="1">
      <c r="A54" s="140" t="str">
        <f t="shared" si="1"/>
        <v>|</v>
      </c>
      <c r="B54" s="141"/>
      <c r="C54" s="142"/>
      <c r="D54" s="143"/>
      <c r="E54" s="143"/>
      <c r="F54" s="143"/>
      <c r="G54" s="144"/>
      <c r="H54" s="144"/>
      <c r="I54" s="144"/>
      <c r="J54" s="145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4"/>
      <c r="AS54" s="144"/>
      <c r="AT54" s="144"/>
      <c r="AU54" s="144"/>
      <c r="AV54" s="144"/>
      <c r="AW54" s="144"/>
      <c r="AX54" s="144"/>
      <c r="AY54" s="144"/>
      <c r="AZ54" s="144"/>
      <c r="BA54" s="144"/>
      <c r="BB54" s="144"/>
      <c r="BC54" s="144"/>
      <c r="BD54" s="144"/>
      <c r="BE54" s="144"/>
      <c r="BF54" s="144"/>
      <c r="BG54" s="144"/>
      <c r="BH54" s="144"/>
      <c r="BI54" s="144"/>
      <c r="BJ54" s="144"/>
      <c r="BK54" s="144"/>
      <c r="BL54" s="144"/>
      <c r="BM54" s="144"/>
      <c r="BN54" s="144"/>
      <c r="BO54" s="144"/>
      <c r="BP54" s="144"/>
      <c r="BQ54" s="144"/>
      <c r="BR54" s="144"/>
      <c r="BS54" s="144"/>
      <c r="BT54" s="144"/>
      <c r="BU54" s="144"/>
      <c r="BV54" s="144"/>
      <c r="BW54" s="144"/>
      <c r="BX54" s="144"/>
      <c r="BY54" s="144"/>
      <c r="BZ54" s="144"/>
      <c r="CA54" s="144"/>
      <c r="CB54" s="144"/>
      <c r="CC54" s="144"/>
      <c r="CD54" s="144"/>
      <c r="CE54" s="144"/>
      <c r="CF54" s="144"/>
      <c r="CG54" s="144"/>
      <c r="CH54" s="144"/>
      <c r="CI54" s="144"/>
      <c r="CJ54" s="144"/>
      <c r="CK54" s="144"/>
      <c r="CL54" s="144"/>
      <c r="CM54" s="144"/>
      <c r="CN54" s="144"/>
      <c r="CO54" s="144"/>
      <c r="CP54" s="144"/>
      <c r="CQ54" s="144"/>
      <c r="CR54" s="144"/>
      <c r="CS54" s="144"/>
      <c r="CT54" s="144"/>
      <c r="CU54" s="144"/>
      <c r="CV54" s="144"/>
      <c r="CW54" s="144"/>
      <c r="CX54" s="145"/>
      <c r="CY54" s="139"/>
      <c r="CZ54" s="127">
        <f t="shared" si="2"/>
        <v>0</v>
      </c>
      <c r="DA54" s="129">
        <f t="shared" si="3"/>
        <v>0</v>
      </c>
      <c r="DB54" s="129">
        <f t="shared" si="4"/>
        <v>0</v>
      </c>
      <c r="DC54" s="129">
        <f t="shared" si="5"/>
        <v>0</v>
      </c>
      <c r="DD54" s="129">
        <f t="shared" si="6"/>
        <v>0</v>
      </c>
      <c r="DE54" s="129">
        <f t="shared" si="7"/>
        <v>0</v>
      </c>
      <c r="DF54" s="129">
        <f t="shared" si="8"/>
        <v>0</v>
      </c>
      <c r="DG54" s="129">
        <f t="shared" si="9"/>
        <v>0</v>
      </c>
      <c r="DH54" s="129">
        <f t="shared" si="10"/>
        <v>0</v>
      </c>
      <c r="DI54" s="139"/>
    </row>
    <row r="55" ht="22.5" customHeight="1">
      <c r="A55" s="140" t="str">
        <f t="shared" si="1"/>
        <v>|</v>
      </c>
      <c r="B55" s="141"/>
      <c r="C55" s="142"/>
      <c r="D55" s="143"/>
      <c r="E55" s="143"/>
      <c r="F55" s="143"/>
      <c r="G55" s="144"/>
      <c r="H55" s="144"/>
      <c r="I55" s="144"/>
      <c r="J55" s="145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44"/>
      <c r="BQ55" s="144"/>
      <c r="BR55" s="144"/>
      <c r="BS55" s="144"/>
      <c r="BT55" s="144"/>
      <c r="BU55" s="144"/>
      <c r="BV55" s="144"/>
      <c r="BW55" s="144"/>
      <c r="BX55" s="144"/>
      <c r="BY55" s="144"/>
      <c r="BZ55" s="144"/>
      <c r="CA55" s="144"/>
      <c r="CB55" s="144"/>
      <c r="CC55" s="144"/>
      <c r="CD55" s="144"/>
      <c r="CE55" s="144"/>
      <c r="CF55" s="144"/>
      <c r="CG55" s="144"/>
      <c r="CH55" s="144"/>
      <c r="CI55" s="144"/>
      <c r="CJ55" s="144"/>
      <c r="CK55" s="144"/>
      <c r="CL55" s="144"/>
      <c r="CM55" s="144"/>
      <c r="CN55" s="144"/>
      <c r="CO55" s="144"/>
      <c r="CP55" s="144"/>
      <c r="CQ55" s="144"/>
      <c r="CR55" s="144"/>
      <c r="CS55" s="144"/>
      <c r="CT55" s="144"/>
      <c r="CU55" s="144"/>
      <c r="CV55" s="144"/>
      <c r="CW55" s="144"/>
      <c r="CX55" s="145"/>
      <c r="CY55" s="139"/>
      <c r="CZ55" s="127">
        <f t="shared" si="2"/>
        <v>0</v>
      </c>
      <c r="DA55" s="129">
        <f t="shared" si="3"/>
        <v>0</v>
      </c>
      <c r="DB55" s="129">
        <f t="shared" si="4"/>
        <v>0</v>
      </c>
      <c r="DC55" s="129">
        <f t="shared" si="5"/>
        <v>0</v>
      </c>
      <c r="DD55" s="129">
        <f t="shared" si="6"/>
        <v>0</v>
      </c>
      <c r="DE55" s="129">
        <f t="shared" si="7"/>
        <v>0</v>
      </c>
      <c r="DF55" s="129">
        <f t="shared" si="8"/>
        <v>0</v>
      </c>
      <c r="DG55" s="129">
        <f t="shared" si="9"/>
        <v>0</v>
      </c>
      <c r="DH55" s="129">
        <f t="shared" si="10"/>
        <v>0</v>
      </c>
      <c r="DI55" s="139"/>
    </row>
    <row r="56" ht="22.5" customHeight="1">
      <c r="A56" s="140" t="str">
        <f t="shared" si="1"/>
        <v>|</v>
      </c>
      <c r="B56" s="141"/>
      <c r="C56" s="142"/>
      <c r="D56" s="143"/>
      <c r="E56" s="143"/>
      <c r="F56" s="143"/>
      <c r="G56" s="144"/>
      <c r="H56" s="144"/>
      <c r="I56" s="144"/>
      <c r="J56" s="145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4"/>
      <c r="AM56" s="144"/>
      <c r="AN56" s="144"/>
      <c r="AO56" s="144"/>
      <c r="AP56" s="144"/>
      <c r="AQ56" s="144"/>
      <c r="AR56" s="144"/>
      <c r="AS56" s="144"/>
      <c r="AT56" s="144"/>
      <c r="AU56" s="144"/>
      <c r="AV56" s="144"/>
      <c r="AW56" s="144"/>
      <c r="AX56" s="144"/>
      <c r="AY56" s="144"/>
      <c r="AZ56" s="144"/>
      <c r="BA56" s="144"/>
      <c r="BB56" s="144"/>
      <c r="BC56" s="144"/>
      <c r="BD56" s="144"/>
      <c r="BE56" s="144"/>
      <c r="BF56" s="144"/>
      <c r="BG56" s="144"/>
      <c r="BH56" s="144"/>
      <c r="BI56" s="144"/>
      <c r="BJ56" s="144"/>
      <c r="BK56" s="144"/>
      <c r="BL56" s="144"/>
      <c r="BM56" s="144"/>
      <c r="BN56" s="144"/>
      <c r="BO56" s="144"/>
      <c r="BP56" s="144"/>
      <c r="BQ56" s="144"/>
      <c r="BR56" s="144"/>
      <c r="BS56" s="144"/>
      <c r="BT56" s="144"/>
      <c r="BU56" s="144"/>
      <c r="BV56" s="144"/>
      <c r="BW56" s="144"/>
      <c r="BX56" s="144"/>
      <c r="BY56" s="144"/>
      <c r="BZ56" s="144"/>
      <c r="CA56" s="144"/>
      <c r="CB56" s="144"/>
      <c r="CC56" s="144"/>
      <c r="CD56" s="144"/>
      <c r="CE56" s="144"/>
      <c r="CF56" s="144"/>
      <c r="CG56" s="144"/>
      <c r="CH56" s="144"/>
      <c r="CI56" s="144"/>
      <c r="CJ56" s="144"/>
      <c r="CK56" s="144"/>
      <c r="CL56" s="144"/>
      <c r="CM56" s="144"/>
      <c r="CN56" s="144"/>
      <c r="CO56" s="144"/>
      <c r="CP56" s="144"/>
      <c r="CQ56" s="144"/>
      <c r="CR56" s="144"/>
      <c r="CS56" s="144"/>
      <c r="CT56" s="144"/>
      <c r="CU56" s="144"/>
      <c r="CV56" s="144"/>
      <c r="CW56" s="144"/>
      <c r="CX56" s="145"/>
      <c r="CY56" s="139"/>
      <c r="CZ56" s="127">
        <f t="shared" si="2"/>
        <v>0</v>
      </c>
      <c r="DA56" s="129">
        <f t="shared" si="3"/>
        <v>0</v>
      </c>
      <c r="DB56" s="129">
        <f t="shared" si="4"/>
        <v>0</v>
      </c>
      <c r="DC56" s="129">
        <f t="shared" si="5"/>
        <v>0</v>
      </c>
      <c r="DD56" s="129">
        <f t="shared" si="6"/>
        <v>0</v>
      </c>
      <c r="DE56" s="129">
        <f t="shared" si="7"/>
        <v>0</v>
      </c>
      <c r="DF56" s="129">
        <f t="shared" si="8"/>
        <v>0</v>
      </c>
      <c r="DG56" s="129">
        <f t="shared" si="9"/>
        <v>0</v>
      </c>
      <c r="DH56" s="129">
        <f t="shared" si="10"/>
        <v>0</v>
      </c>
      <c r="DI56" s="139"/>
    </row>
    <row r="57" ht="22.5" customHeight="1">
      <c r="A57" s="140" t="str">
        <f t="shared" si="1"/>
        <v>|</v>
      </c>
      <c r="B57" s="141"/>
      <c r="C57" s="142"/>
      <c r="D57" s="143"/>
      <c r="E57" s="143"/>
      <c r="F57" s="143"/>
      <c r="G57" s="144"/>
      <c r="H57" s="144"/>
      <c r="I57" s="144"/>
      <c r="J57" s="145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4"/>
      <c r="AM57" s="144"/>
      <c r="AN57" s="144"/>
      <c r="AO57" s="144"/>
      <c r="AP57" s="144"/>
      <c r="AQ57" s="144"/>
      <c r="AR57" s="144"/>
      <c r="AS57" s="144"/>
      <c r="AT57" s="144"/>
      <c r="AU57" s="144"/>
      <c r="AV57" s="144"/>
      <c r="AW57" s="144"/>
      <c r="AX57" s="144"/>
      <c r="AY57" s="144"/>
      <c r="AZ57" s="144"/>
      <c r="BA57" s="144"/>
      <c r="BB57" s="144"/>
      <c r="BC57" s="144"/>
      <c r="BD57" s="144"/>
      <c r="BE57" s="144"/>
      <c r="BF57" s="144"/>
      <c r="BG57" s="144"/>
      <c r="BH57" s="144"/>
      <c r="BI57" s="144"/>
      <c r="BJ57" s="144"/>
      <c r="BK57" s="144"/>
      <c r="BL57" s="144"/>
      <c r="BM57" s="144"/>
      <c r="BN57" s="144"/>
      <c r="BO57" s="144"/>
      <c r="BP57" s="144"/>
      <c r="BQ57" s="144"/>
      <c r="BR57" s="144"/>
      <c r="BS57" s="144"/>
      <c r="BT57" s="144"/>
      <c r="BU57" s="144"/>
      <c r="BV57" s="144"/>
      <c r="BW57" s="144"/>
      <c r="BX57" s="144"/>
      <c r="BY57" s="144"/>
      <c r="BZ57" s="144"/>
      <c r="CA57" s="144"/>
      <c r="CB57" s="144"/>
      <c r="CC57" s="144"/>
      <c r="CD57" s="144"/>
      <c r="CE57" s="144"/>
      <c r="CF57" s="144"/>
      <c r="CG57" s="144"/>
      <c r="CH57" s="144"/>
      <c r="CI57" s="144"/>
      <c r="CJ57" s="144"/>
      <c r="CK57" s="144"/>
      <c r="CL57" s="144"/>
      <c r="CM57" s="144"/>
      <c r="CN57" s="144"/>
      <c r="CO57" s="144"/>
      <c r="CP57" s="144"/>
      <c r="CQ57" s="144"/>
      <c r="CR57" s="144"/>
      <c r="CS57" s="144"/>
      <c r="CT57" s="144"/>
      <c r="CU57" s="144"/>
      <c r="CV57" s="144"/>
      <c r="CW57" s="144"/>
      <c r="CX57" s="145"/>
      <c r="CY57" s="139"/>
      <c r="CZ57" s="127">
        <f t="shared" si="2"/>
        <v>0</v>
      </c>
      <c r="DA57" s="129">
        <f t="shared" si="3"/>
        <v>0</v>
      </c>
      <c r="DB57" s="129">
        <f t="shared" si="4"/>
        <v>0</v>
      </c>
      <c r="DC57" s="129">
        <f t="shared" si="5"/>
        <v>0</v>
      </c>
      <c r="DD57" s="129">
        <f t="shared" si="6"/>
        <v>0</v>
      </c>
      <c r="DE57" s="129">
        <f t="shared" si="7"/>
        <v>0</v>
      </c>
      <c r="DF57" s="129">
        <f t="shared" si="8"/>
        <v>0</v>
      </c>
      <c r="DG57" s="129">
        <f t="shared" si="9"/>
        <v>0</v>
      </c>
      <c r="DH57" s="129">
        <f t="shared" si="10"/>
        <v>0</v>
      </c>
      <c r="DI57" s="139"/>
    </row>
    <row r="58" ht="22.5" customHeight="1">
      <c r="A58" s="140" t="str">
        <f t="shared" si="1"/>
        <v>|</v>
      </c>
      <c r="B58" s="141"/>
      <c r="C58" s="142"/>
      <c r="D58" s="143"/>
      <c r="E58" s="143"/>
      <c r="F58" s="143"/>
      <c r="G58" s="144"/>
      <c r="H58" s="144"/>
      <c r="I58" s="144"/>
      <c r="J58" s="145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  <c r="AC58" s="144"/>
      <c r="AD58" s="144"/>
      <c r="AE58" s="144"/>
      <c r="AF58" s="144"/>
      <c r="AG58" s="144"/>
      <c r="AH58" s="144"/>
      <c r="AI58" s="144"/>
      <c r="AJ58" s="144"/>
      <c r="AK58" s="144"/>
      <c r="AL58" s="144"/>
      <c r="AM58" s="144"/>
      <c r="AN58" s="144"/>
      <c r="AO58" s="144"/>
      <c r="AP58" s="144"/>
      <c r="AQ58" s="144"/>
      <c r="AR58" s="144"/>
      <c r="AS58" s="144"/>
      <c r="AT58" s="144"/>
      <c r="AU58" s="144"/>
      <c r="AV58" s="144"/>
      <c r="AW58" s="144"/>
      <c r="AX58" s="144"/>
      <c r="AY58" s="144"/>
      <c r="AZ58" s="144"/>
      <c r="BA58" s="144"/>
      <c r="BB58" s="144"/>
      <c r="BC58" s="144"/>
      <c r="BD58" s="144"/>
      <c r="BE58" s="144"/>
      <c r="BF58" s="144"/>
      <c r="BG58" s="144"/>
      <c r="BH58" s="144"/>
      <c r="BI58" s="144"/>
      <c r="BJ58" s="144"/>
      <c r="BK58" s="144"/>
      <c r="BL58" s="144"/>
      <c r="BM58" s="144"/>
      <c r="BN58" s="144"/>
      <c r="BO58" s="144"/>
      <c r="BP58" s="144"/>
      <c r="BQ58" s="144"/>
      <c r="BR58" s="144"/>
      <c r="BS58" s="144"/>
      <c r="BT58" s="144"/>
      <c r="BU58" s="144"/>
      <c r="BV58" s="144"/>
      <c r="BW58" s="144"/>
      <c r="BX58" s="144"/>
      <c r="BY58" s="144"/>
      <c r="BZ58" s="144"/>
      <c r="CA58" s="144"/>
      <c r="CB58" s="144"/>
      <c r="CC58" s="144"/>
      <c r="CD58" s="144"/>
      <c r="CE58" s="144"/>
      <c r="CF58" s="144"/>
      <c r="CG58" s="144"/>
      <c r="CH58" s="144"/>
      <c r="CI58" s="144"/>
      <c r="CJ58" s="144"/>
      <c r="CK58" s="144"/>
      <c r="CL58" s="144"/>
      <c r="CM58" s="144"/>
      <c r="CN58" s="144"/>
      <c r="CO58" s="144"/>
      <c r="CP58" s="144"/>
      <c r="CQ58" s="144"/>
      <c r="CR58" s="144"/>
      <c r="CS58" s="144"/>
      <c r="CT58" s="144"/>
      <c r="CU58" s="144"/>
      <c r="CV58" s="144"/>
      <c r="CW58" s="144"/>
      <c r="CX58" s="145"/>
      <c r="CY58" s="139"/>
      <c r="CZ58" s="127">
        <f t="shared" si="2"/>
        <v>0</v>
      </c>
      <c r="DA58" s="129">
        <f t="shared" si="3"/>
        <v>0</v>
      </c>
      <c r="DB58" s="129">
        <f t="shared" si="4"/>
        <v>0</v>
      </c>
      <c r="DC58" s="129">
        <f t="shared" si="5"/>
        <v>0</v>
      </c>
      <c r="DD58" s="129">
        <f t="shared" si="6"/>
        <v>0</v>
      </c>
      <c r="DE58" s="129">
        <f t="shared" si="7"/>
        <v>0</v>
      </c>
      <c r="DF58" s="129">
        <f t="shared" si="8"/>
        <v>0</v>
      </c>
      <c r="DG58" s="129">
        <f t="shared" si="9"/>
        <v>0</v>
      </c>
      <c r="DH58" s="129">
        <f t="shared" si="10"/>
        <v>0</v>
      </c>
      <c r="DI58" s="139"/>
    </row>
    <row r="59" ht="22.5" customHeight="1">
      <c r="A59" s="140" t="str">
        <f t="shared" si="1"/>
        <v>|</v>
      </c>
      <c r="B59" s="141"/>
      <c r="C59" s="142"/>
      <c r="D59" s="143"/>
      <c r="E59" s="143"/>
      <c r="F59" s="143"/>
      <c r="G59" s="144"/>
      <c r="H59" s="144"/>
      <c r="I59" s="144"/>
      <c r="J59" s="145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4"/>
      <c r="AM59" s="144"/>
      <c r="AN59" s="144"/>
      <c r="AO59" s="144"/>
      <c r="AP59" s="144"/>
      <c r="AQ59" s="144"/>
      <c r="AR59" s="144"/>
      <c r="AS59" s="144"/>
      <c r="AT59" s="144"/>
      <c r="AU59" s="144"/>
      <c r="AV59" s="144"/>
      <c r="AW59" s="144"/>
      <c r="AX59" s="144"/>
      <c r="AY59" s="144"/>
      <c r="AZ59" s="144"/>
      <c r="BA59" s="144"/>
      <c r="BB59" s="144"/>
      <c r="BC59" s="144"/>
      <c r="BD59" s="144"/>
      <c r="BE59" s="144"/>
      <c r="BF59" s="144"/>
      <c r="BG59" s="144"/>
      <c r="BH59" s="144"/>
      <c r="BI59" s="144"/>
      <c r="BJ59" s="144"/>
      <c r="BK59" s="144"/>
      <c r="BL59" s="144"/>
      <c r="BM59" s="144"/>
      <c r="BN59" s="144"/>
      <c r="BO59" s="144"/>
      <c r="BP59" s="144"/>
      <c r="BQ59" s="144"/>
      <c r="BR59" s="144"/>
      <c r="BS59" s="144"/>
      <c r="BT59" s="144"/>
      <c r="BU59" s="144"/>
      <c r="BV59" s="144"/>
      <c r="BW59" s="144"/>
      <c r="BX59" s="144"/>
      <c r="BY59" s="144"/>
      <c r="BZ59" s="144"/>
      <c r="CA59" s="144"/>
      <c r="CB59" s="144"/>
      <c r="CC59" s="144"/>
      <c r="CD59" s="144"/>
      <c r="CE59" s="144"/>
      <c r="CF59" s="144"/>
      <c r="CG59" s="144"/>
      <c r="CH59" s="144"/>
      <c r="CI59" s="144"/>
      <c r="CJ59" s="144"/>
      <c r="CK59" s="144"/>
      <c r="CL59" s="144"/>
      <c r="CM59" s="144"/>
      <c r="CN59" s="144"/>
      <c r="CO59" s="144"/>
      <c r="CP59" s="144"/>
      <c r="CQ59" s="144"/>
      <c r="CR59" s="144"/>
      <c r="CS59" s="144"/>
      <c r="CT59" s="144"/>
      <c r="CU59" s="144"/>
      <c r="CV59" s="144"/>
      <c r="CW59" s="144"/>
      <c r="CX59" s="145"/>
      <c r="CY59" s="139"/>
      <c r="CZ59" s="127">
        <f t="shared" si="2"/>
        <v>0</v>
      </c>
      <c r="DA59" s="129">
        <f t="shared" si="3"/>
        <v>0</v>
      </c>
      <c r="DB59" s="129">
        <f t="shared" si="4"/>
        <v>0</v>
      </c>
      <c r="DC59" s="129">
        <f t="shared" si="5"/>
        <v>0</v>
      </c>
      <c r="DD59" s="129">
        <f t="shared" si="6"/>
        <v>0</v>
      </c>
      <c r="DE59" s="129">
        <f t="shared" si="7"/>
        <v>0</v>
      </c>
      <c r="DF59" s="129">
        <f t="shared" si="8"/>
        <v>0</v>
      </c>
      <c r="DG59" s="129">
        <f t="shared" si="9"/>
        <v>0</v>
      </c>
      <c r="DH59" s="129">
        <f t="shared" si="10"/>
        <v>0</v>
      </c>
      <c r="DI59" s="139"/>
    </row>
    <row r="60" ht="22.5" customHeight="1">
      <c r="A60" s="140" t="str">
        <f t="shared" si="1"/>
        <v>|</v>
      </c>
      <c r="B60" s="141"/>
      <c r="C60" s="142"/>
      <c r="D60" s="143"/>
      <c r="E60" s="143"/>
      <c r="F60" s="143"/>
      <c r="G60" s="144"/>
      <c r="H60" s="144"/>
      <c r="I60" s="144"/>
      <c r="J60" s="145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144"/>
      <c r="AR60" s="144"/>
      <c r="AS60" s="144"/>
      <c r="AT60" s="144"/>
      <c r="AU60" s="144"/>
      <c r="AV60" s="144"/>
      <c r="AW60" s="144"/>
      <c r="AX60" s="144"/>
      <c r="AY60" s="144"/>
      <c r="AZ60" s="144"/>
      <c r="BA60" s="144"/>
      <c r="BB60" s="144"/>
      <c r="BC60" s="144"/>
      <c r="BD60" s="144"/>
      <c r="BE60" s="144"/>
      <c r="BF60" s="144"/>
      <c r="BG60" s="144"/>
      <c r="BH60" s="144"/>
      <c r="BI60" s="144"/>
      <c r="BJ60" s="144"/>
      <c r="BK60" s="144"/>
      <c r="BL60" s="144"/>
      <c r="BM60" s="144"/>
      <c r="BN60" s="144"/>
      <c r="BO60" s="144"/>
      <c r="BP60" s="144"/>
      <c r="BQ60" s="144"/>
      <c r="BR60" s="144"/>
      <c r="BS60" s="144"/>
      <c r="BT60" s="144"/>
      <c r="BU60" s="144"/>
      <c r="BV60" s="144"/>
      <c r="BW60" s="144"/>
      <c r="BX60" s="144"/>
      <c r="BY60" s="144"/>
      <c r="BZ60" s="144"/>
      <c r="CA60" s="144"/>
      <c r="CB60" s="144"/>
      <c r="CC60" s="144"/>
      <c r="CD60" s="144"/>
      <c r="CE60" s="144"/>
      <c r="CF60" s="144"/>
      <c r="CG60" s="144"/>
      <c r="CH60" s="144"/>
      <c r="CI60" s="144"/>
      <c r="CJ60" s="144"/>
      <c r="CK60" s="144"/>
      <c r="CL60" s="144"/>
      <c r="CM60" s="144"/>
      <c r="CN60" s="144"/>
      <c r="CO60" s="144"/>
      <c r="CP60" s="144"/>
      <c r="CQ60" s="144"/>
      <c r="CR60" s="144"/>
      <c r="CS60" s="144"/>
      <c r="CT60" s="144"/>
      <c r="CU60" s="144"/>
      <c r="CV60" s="144"/>
      <c r="CW60" s="144"/>
      <c r="CX60" s="145"/>
      <c r="CY60" s="139"/>
      <c r="CZ60" s="127">
        <f t="shared" si="2"/>
        <v>0</v>
      </c>
      <c r="DA60" s="129">
        <f t="shared" si="3"/>
        <v>0</v>
      </c>
      <c r="DB60" s="129">
        <f t="shared" si="4"/>
        <v>0</v>
      </c>
      <c r="DC60" s="129">
        <f t="shared" si="5"/>
        <v>0</v>
      </c>
      <c r="DD60" s="129">
        <f t="shared" si="6"/>
        <v>0</v>
      </c>
      <c r="DE60" s="129">
        <f t="shared" si="7"/>
        <v>0</v>
      </c>
      <c r="DF60" s="129">
        <f t="shared" si="8"/>
        <v>0</v>
      </c>
      <c r="DG60" s="129">
        <f t="shared" si="9"/>
        <v>0</v>
      </c>
      <c r="DH60" s="129">
        <f t="shared" si="10"/>
        <v>0</v>
      </c>
      <c r="DI60" s="139"/>
    </row>
    <row r="61" ht="22.5" customHeight="1">
      <c r="A61" s="140" t="str">
        <f t="shared" si="1"/>
        <v>|</v>
      </c>
      <c r="B61" s="141"/>
      <c r="C61" s="142"/>
      <c r="D61" s="143"/>
      <c r="E61" s="143"/>
      <c r="F61" s="143"/>
      <c r="G61" s="144"/>
      <c r="H61" s="144"/>
      <c r="I61" s="144"/>
      <c r="J61" s="145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144"/>
      <c r="AS61" s="144"/>
      <c r="AT61" s="144"/>
      <c r="AU61" s="144"/>
      <c r="AV61" s="144"/>
      <c r="AW61" s="144"/>
      <c r="AX61" s="144"/>
      <c r="AY61" s="144"/>
      <c r="AZ61" s="144"/>
      <c r="BA61" s="144"/>
      <c r="BB61" s="144"/>
      <c r="BC61" s="144"/>
      <c r="BD61" s="144"/>
      <c r="BE61" s="144"/>
      <c r="BF61" s="144"/>
      <c r="BG61" s="144"/>
      <c r="BH61" s="144"/>
      <c r="BI61" s="144"/>
      <c r="BJ61" s="144"/>
      <c r="BK61" s="144"/>
      <c r="BL61" s="144"/>
      <c r="BM61" s="144"/>
      <c r="BN61" s="144"/>
      <c r="BO61" s="144"/>
      <c r="BP61" s="144"/>
      <c r="BQ61" s="144"/>
      <c r="BR61" s="144"/>
      <c r="BS61" s="144"/>
      <c r="BT61" s="144"/>
      <c r="BU61" s="144"/>
      <c r="BV61" s="144"/>
      <c r="BW61" s="144"/>
      <c r="BX61" s="144"/>
      <c r="BY61" s="144"/>
      <c r="BZ61" s="144"/>
      <c r="CA61" s="144"/>
      <c r="CB61" s="144"/>
      <c r="CC61" s="144"/>
      <c r="CD61" s="144"/>
      <c r="CE61" s="144"/>
      <c r="CF61" s="144"/>
      <c r="CG61" s="144"/>
      <c r="CH61" s="144"/>
      <c r="CI61" s="144"/>
      <c r="CJ61" s="144"/>
      <c r="CK61" s="144"/>
      <c r="CL61" s="144"/>
      <c r="CM61" s="144"/>
      <c r="CN61" s="144"/>
      <c r="CO61" s="144"/>
      <c r="CP61" s="144"/>
      <c r="CQ61" s="144"/>
      <c r="CR61" s="144"/>
      <c r="CS61" s="144"/>
      <c r="CT61" s="144"/>
      <c r="CU61" s="144"/>
      <c r="CV61" s="144"/>
      <c r="CW61" s="144"/>
      <c r="CX61" s="145"/>
      <c r="CY61" s="139"/>
      <c r="CZ61" s="127">
        <f t="shared" si="2"/>
        <v>0</v>
      </c>
      <c r="DA61" s="129">
        <f t="shared" si="3"/>
        <v>0</v>
      </c>
      <c r="DB61" s="129">
        <f t="shared" si="4"/>
        <v>0</v>
      </c>
      <c r="DC61" s="129">
        <f t="shared" si="5"/>
        <v>0</v>
      </c>
      <c r="DD61" s="129">
        <f t="shared" si="6"/>
        <v>0</v>
      </c>
      <c r="DE61" s="129">
        <f t="shared" si="7"/>
        <v>0</v>
      </c>
      <c r="DF61" s="129">
        <f t="shared" si="8"/>
        <v>0</v>
      </c>
      <c r="DG61" s="129">
        <f t="shared" si="9"/>
        <v>0</v>
      </c>
      <c r="DH61" s="129">
        <f t="shared" si="10"/>
        <v>0</v>
      </c>
      <c r="DI61" s="139"/>
    </row>
    <row r="62" ht="22.5" customHeight="1">
      <c r="A62" s="140" t="str">
        <f t="shared" si="1"/>
        <v>|</v>
      </c>
      <c r="B62" s="141"/>
      <c r="C62" s="142"/>
      <c r="D62" s="143"/>
      <c r="E62" s="143"/>
      <c r="F62" s="143"/>
      <c r="G62" s="144"/>
      <c r="H62" s="144"/>
      <c r="I62" s="144"/>
      <c r="J62" s="145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4"/>
      <c r="AM62" s="144"/>
      <c r="AN62" s="144"/>
      <c r="AO62" s="144"/>
      <c r="AP62" s="144"/>
      <c r="AQ62" s="144"/>
      <c r="AR62" s="144"/>
      <c r="AS62" s="144"/>
      <c r="AT62" s="144"/>
      <c r="AU62" s="144"/>
      <c r="AV62" s="144"/>
      <c r="AW62" s="144"/>
      <c r="AX62" s="144"/>
      <c r="AY62" s="144"/>
      <c r="AZ62" s="144"/>
      <c r="BA62" s="144"/>
      <c r="BB62" s="144"/>
      <c r="BC62" s="144"/>
      <c r="BD62" s="144"/>
      <c r="BE62" s="144"/>
      <c r="BF62" s="144"/>
      <c r="BG62" s="144"/>
      <c r="BH62" s="144"/>
      <c r="BI62" s="144"/>
      <c r="BJ62" s="144"/>
      <c r="BK62" s="144"/>
      <c r="BL62" s="144"/>
      <c r="BM62" s="144"/>
      <c r="BN62" s="144"/>
      <c r="BO62" s="144"/>
      <c r="BP62" s="144"/>
      <c r="BQ62" s="144"/>
      <c r="BR62" s="144"/>
      <c r="BS62" s="144"/>
      <c r="BT62" s="144"/>
      <c r="BU62" s="144"/>
      <c r="BV62" s="144"/>
      <c r="BW62" s="144"/>
      <c r="BX62" s="144"/>
      <c r="BY62" s="144"/>
      <c r="BZ62" s="144"/>
      <c r="CA62" s="144"/>
      <c r="CB62" s="144"/>
      <c r="CC62" s="144"/>
      <c r="CD62" s="144"/>
      <c r="CE62" s="144"/>
      <c r="CF62" s="144"/>
      <c r="CG62" s="144"/>
      <c r="CH62" s="144"/>
      <c r="CI62" s="144"/>
      <c r="CJ62" s="144"/>
      <c r="CK62" s="144"/>
      <c r="CL62" s="144"/>
      <c r="CM62" s="144"/>
      <c r="CN62" s="144"/>
      <c r="CO62" s="144"/>
      <c r="CP62" s="144"/>
      <c r="CQ62" s="144"/>
      <c r="CR62" s="144"/>
      <c r="CS62" s="144"/>
      <c r="CT62" s="144"/>
      <c r="CU62" s="144"/>
      <c r="CV62" s="144"/>
      <c r="CW62" s="144"/>
      <c r="CX62" s="145"/>
      <c r="CY62" s="139"/>
      <c r="CZ62" s="127">
        <f t="shared" si="2"/>
        <v>0</v>
      </c>
      <c r="DA62" s="129">
        <f t="shared" si="3"/>
        <v>0</v>
      </c>
      <c r="DB62" s="129">
        <f t="shared" si="4"/>
        <v>0</v>
      </c>
      <c r="DC62" s="129">
        <f t="shared" si="5"/>
        <v>0</v>
      </c>
      <c r="DD62" s="129">
        <f t="shared" si="6"/>
        <v>0</v>
      </c>
      <c r="DE62" s="129">
        <f t="shared" si="7"/>
        <v>0</v>
      </c>
      <c r="DF62" s="129">
        <f t="shared" si="8"/>
        <v>0</v>
      </c>
      <c r="DG62" s="129">
        <f t="shared" si="9"/>
        <v>0</v>
      </c>
      <c r="DH62" s="129">
        <f t="shared" si="10"/>
        <v>0</v>
      </c>
      <c r="DI62" s="139"/>
    </row>
    <row r="63" ht="22.5" customHeight="1">
      <c r="A63" s="140" t="str">
        <f t="shared" si="1"/>
        <v>|</v>
      </c>
      <c r="B63" s="141"/>
      <c r="C63" s="142"/>
      <c r="D63" s="143"/>
      <c r="E63" s="143"/>
      <c r="F63" s="143"/>
      <c r="G63" s="144"/>
      <c r="H63" s="144"/>
      <c r="I63" s="144"/>
      <c r="J63" s="145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  <c r="AC63" s="144"/>
      <c r="AD63" s="144"/>
      <c r="AE63" s="144"/>
      <c r="AF63" s="144"/>
      <c r="AG63" s="144"/>
      <c r="AH63" s="144"/>
      <c r="AI63" s="144"/>
      <c r="AJ63" s="144"/>
      <c r="AK63" s="144"/>
      <c r="AL63" s="144"/>
      <c r="AM63" s="144"/>
      <c r="AN63" s="144"/>
      <c r="AO63" s="144"/>
      <c r="AP63" s="144"/>
      <c r="AQ63" s="144"/>
      <c r="AR63" s="144"/>
      <c r="AS63" s="144"/>
      <c r="AT63" s="144"/>
      <c r="AU63" s="144"/>
      <c r="AV63" s="144"/>
      <c r="AW63" s="144"/>
      <c r="AX63" s="144"/>
      <c r="AY63" s="144"/>
      <c r="AZ63" s="144"/>
      <c r="BA63" s="144"/>
      <c r="BB63" s="144"/>
      <c r="BC63" s="144"/>
      <c r="BD63" s="144"/>
      <c r="BE63" s="144"/>
      <c r="BF63" s="144"/>
      <c r="BG63" s="144"/>
      <c r="BH63" s="144"/>
      <c r="BI63" s="144"/>
      <c r="BJ63" s="144"/>
      <c r="BK63" s="144"/>
      <c r="BL63" s="144"/>
      <c r="BM63" s="144"/>
      <c r="BN63" s="144"/>
      <c r="BO63" s="144"/>
      <c r="BP63" s="144"/>
      <c r="BQ63" s="144"/>
      <c r="BR63" s="144"/>
      <c r="BS63" s="144"/>
      <c r="BT63" s="144"/>
      <c r="BU63" s="144"/>
      <c r="BV63" s="144"/>
      <c r="BW63" s="144"/>
      <c r="BX63" s="144"/>
      <c r="BY63" s="144"/>
      <c r="BZ63" s="144"/>
      <c r="CA63" s="144"/>
      <c r="CB63" s="144"/>
      <c r="CC63" s="144"/>
      <c r="CD63" s="144"/>
      <c r="CE63" s="144"/>
      <c r="CF63" s="144"/>
      <c r="CG63" s="144"/>
      <c r="CH63" s="144"/>
      <c r="CI63" s="144"/>
      <c r="CJ63" s="144"/>
      <c r="CK63" s="144"/>
      <c r="CL63" s="144"/>
      <c r="CM63" s="144"/>
      <c r="CN63" s="144"/>
      <c r="CO63" s="144"/>
      <c r="CP63" s="144"/>
      <c r="CQ63" s="144"/>
      <c r="CR63" s="144"/>
      <c r="CS63" s="144"/>
      <c r="CT63" s="144"/>
      <c r="CU63" s="144"/>
      <c r="CV63" s="144"/>
      <c r="CW63" s="144"/>
      <c r="CX63" s="145"/>
      <c r="CY63" s="139"/>
      <c r="CZ63" s="127">
        <f t="shared" si="2"/>
        <v>0</v>
      </c>
      <c r="DA63" s="129">
        <f t="shared" si="3"/>
        <v>0</v>
      </c>
      <c r="DB63" s="129">
        <f t="shared" si="4"/>
        <v>0</v>
      </c>
      <c r="DC63" s="129">
        <f t="shared" si="5"/>
        <v>0</v>
      </c>
      <c r="DD63" s="129">
        <f t="shared" si="6"/>
        <v>0</v>
      </c>
      <c r="DE63" s="129">
        <f t="shared" si="7"/>
        <v>0</v>
      </c>
      <c r="DF63" s="129">
        <f t="shared" si="8"/>
        <v>0</v>
      </c>
      <c r="DG63" s="129">
        <f t="shared" si="9"/>
        <v>0</v>
      </c>
      <c r="DH63" s="129">
        <f t="shared" si="10"/>
        <v>0</v>
      </c>
      <c r="DI63" s="139"/>
    </row>
    <row r="64" ht="22.5" customHeight="1">
      <c r="A64" s="140" t="str">
        <f t="shared" si="1"/>
        <v>|</v>
      </c>
      <c r="B64" s="141"/>
      <c r="C64" s="142"/>
      <c r="D64" s="143"/>
      <c r="E64" s="143"/>
      <c r="F64" s="143"/>
      <c r="G64" s="144"/>
      <c r="H64" s="144"/>
      <c r="I64" s="144"/>
      <c r="J64" s="145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4"/>
      <c r="AM64" s="144"/>
      <c r="AN64" s="144"/>
      <c r="AO64" s="144"/>
      <c r="AP64" s="144"/>
      <c r="AQ64" s="144"/>
      <c r="AR64" s="144"/>
      <c r="AS64" s="144"/>
      <c r="AT64" s="144"/>
      <c r="AU64" s="144"/>
      <c r="AV64" s="144"/>
      <c r="AW64" s="144"/>
      <c r="AX64" s="144"/>
      <c r="AY64" s="144"/>
      <c r="AZ64" s="144"/>
      <c r="BA64" s="144"/>
      <c r="BB64" s="144"/>
      <c r="BC64" s="144"/>
      <c r="BD64" s="144"/>
      <c r="BE64" s="144"/>
      <c r="BF64" s="144"/>
      <c r="BG64" s="144"/>
      <c r="BH64" s="144"/>
      <c r="BI64" s="144"/>
      <c r="BJ64" s="144"/>
      <c r="BK64" s="144"/>
      <c r="BL64" s="144"/>
      <c r="BM64" s="144"/>
      <c r="BN64" s="144"/>
      <c r="BO64" s="144"/>
      <c r="BP64" s="144"/>
      <c r="BQ64" s="144"/>
      <c r="BR64" s="144"/>
      <c r="BS64" s="144"/>
      <c r="BT64" s="144"/>
      <c r="BU64" s="144"/>
      <c r="BV64" s="144"/>
      <c r="BW64" s="144"/>
      <c r="BX64" s="144"/>
      <c r="BY64" s="144"/>
      <c r="BZ64" s="144"/>
      <c r="CA64" s="144"/>
      <c r="CB64" s="144"/>
      <c r="CC64" s="144"/>
      <c r="CD64" s="144"/>
      <c r="CE64" s="144"/>
      <c r="CF64" s="144"/>
      <c r="CG64" s="144"/>
      <c r="CH64" s="144"/>
      <c r="CI64" s="144"/>
      <c r="CJ64" s="144"/>
      <c r="CK64" s="144"/>
      <c r="CL64" s="144"/>
      <c r="CM64" s="144"/>
      <c r="CN64" s="144"/>
      <c r="CO64" s="144"/>
      <c r="CP64" s="144"/>
      <c r="CQ64" s="144"/>
      <c r="CR64" s="144"/>
      <c r="CS64" s="144"/>
      <c r="CT64" s="144"/>
      <c r="CU64" s="144"/>
      <c r="CV64" s="144"/>
      <c r="CW64" s="144"/>
      <c r="CX64" s="145"/>
      <c r="CY64" s="139"/>
      <c r="CZ64" s="127">
        <f t="shared" si="2"/>
        <v>0</v>
      </c>
      <c r="DA64" s="129">
        <f t="shared" si="3"/>
        <v>0</v>
      </c>
      <c r="DB64" s="129">
        <f t="shared" si="4"/>
        <v>0</v>
      </c>
      <c r="DC64" s="129">
        <f t="shared" si="5"/>
        <v>0</v>
      </c>
      <c r="DD64" s="129">
        <f t="shared" si="6"/>
        <v>0</v>
      </c>
      <c r="DE64" s="129">
        <f t="shared" si="7"/>
        <v>0</v>
      </c>
      <c r="DF64" s="129">
        <f t="shared" si="8"/>
        <v>0</v>
      </c>
      <c r="DG64" s="129">
        <f t="shared" si="9"/>
        <v>0</v>
      </c>
      <c r="DH64" s="129">
        <f t="shared" si="10"/>
        <v>0</v>
      </c>
      <c r="DI64" s="139"/>
    </row>
    <row r="65" ht="22.5" customHeight="1">
      <c r="A65" s="140" t="str">
        <f t="shared" si="1"/>
        <v>|</v>
      </c>
      <c r="B65" s="141"/>
      <c r="C65" s="142"/>
      <c r="D65" s="143"/>
      <c r="E65" s="143"/>
      <c r="F65" s="143"/>
      <c r="G65" s="144"/>
      <c r="H65" s="144"/>
      <c r="I65" s="144"/>
      <c r="J65" s="145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4"/>
      <c r="AM65" s="144"/>
      <c r="AN65" s="144"/>
      <c r="AO65" s="144"/>
      <c r="AP65" s="144"/>
      <c r="AQ65" s="144"/>
      <c r="AR65" s="144"/>
      <c r="AS65" s="144"/>
      <c r="AT65" s="144"/>
      <c r="AU65" s="144"/>
      <c r="AV65" s="144"/>
      <c r="AW65" s="144"/>
      <c r="AX65" s="144"/>
      <c r="AY65" s="144"/>
      <c r="AZ65" s="144"/>
      <c r="BA65" s="144"/>
      <c r="BB65" s="144"/>
      <c r="BC65" s="144"/>
      <c r="BD65" s="144"/>
      <c r="BE65" s="144"/>
      <c r="BF65" s="144"/>
      <c r="BG65" s="144"/>
      <c r="BH65" s="144"/>
      <c r="BI65" s="144"/>
      <c r="BJ65" s="144"/>
      <c r="BK65" s="144"/>
      <c r="BL65" s="144"/>
      <c r="BM65" s="144"/>
      <c r="BN65" s="144"/>
      <c r="BO65" s="144"/>
      <c r="BP65" s="144"/>
      <c r="BQ65" s="144"/>
      <c r="BR65" s="144"/>
      <c r="BS65" s="144"/>
      <c r="BT65" s="144"/>
      <c r="BU65" s="144"/>
      <c r="BV65" s="144"/>
      <c r="BW65" s="144"/>
      <c r="BX65" s="144"/>
      <c r="BY65" s="144"/>
      <c r="BZ65" s="144"/>
      <c r="CA65" s="144"/>
      <c r="CB65" s="144"/>
      <c r="CC65" s="144"/>
      <c r="CD65" s="144"/>
      <c r="CE65" s="144"/>
      <c r="CF65" s="144"/>
      <c r="CG65" s="144"/>
      <c r="CH65" s="144"/>
      <c r="CI65" s="144"/>
      <c r="CJ65" s="144"/>
      <c r="CK65" s="144"/>
      <c r="CL65" s="144"/>
      <c r="CM65" s="144"/>
      <c r="CN65" s="144"/>
      <c r="CO65" s="144"/>
      <c r="CP65" s="144"/>
      <c r="CQ65" s="144"/>
      <c r="CR65" s="144"/>
      <c r="CS65" s="144"/>
      <c r="CT65" s="144"/>
      <c r="CU65" s="144"/>
      <c r="CV65" s="144"/>
      <c r="CW65" s="144"/>
      <c r="CX65" s="145"/>
      <c r="CY65" s="139"/>
      <c r="CZ65" s="127">
        <f t="shared" si="2"/>
        <v>0</v>
      </c>
      <c r="DA65" s="129">
        <f t="shared" si="3"/>
        <v>0</v>
      </c>
      <c r="DB65" s="129">
        <f t="shared" si="4"/>
        <v>0</v>
      </c>
      <c r="DC65" s="129">
        <f t="shared" si="5"/>
        <v>0</v>
      </c>
      <c r="DD65" s="129">
        <f t="shared" si="6"/>
        <v>0</v>
      </c>
      <c r="DE65" s="129">
        <f t="shared" si="7"/>
        <v>0</v>
      </c>
      <c r="DF65" s="129">
        <f t="shared" si="8"/>
        <v>0</v>
      </c>
      <c r="DG65" s="129">
        <f t="shared" si="9"/>
        <v>0</v>
      </c>
      <c r="DH65" s="129">
        <f t="shared" si="10"/>
        <v>0</v>
      </c>
      <c r="DI65" s="139"/>
    </row>
    <row r="66" ht="22.5" customHeight="1">
      <c r="A66" s="140" t="str">
        <f t="shared" si="1"/>
        <v>|</v>
      </c>
      <c r="B66" s="141"/>
      <c r="C66" s="142"/>
      <c r="D66" s="143"/>
      <c r="E66" s="143"/>
      <c r="F66" s="143"/>
      <c r="G66" s="144"/>
      <c r="H66" s="144"/>
      <c r="I66" s="144"/>
      <c r="J66" s="145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4"/>
      <c r="AM66" s="144"/>
      <c r="AN66" s="144"/>
      <c r="AO66" s="144"/>
      <c r="AP66" s="144"/>
      <c r="AQ66" s="144"/>
      <c r="AR66" s="144"/>
      <c r="AS66" s="144"/>
      <c r="AT66" s="144"/>
      <c r="AU66" s="144"/>
      <c r="AV66" s="144"/>
      <c r="AW66" s="144"/>
      <c r="AX66" s="144"/>
      <c r="AY66" s="144"/>
      <c r="AZ66" s="144"/>
      <c r="BA66" s="144"/>
      <c r="BB66" s="144"/>
      <c r="BC66" s="144"/>
      <c r="BD66" s="144"/>
      <c r="BE66" s="144"/>
      <c r="BF66" s="144"/>
      <c r="BG66" s="144"/>
      <c r="BH66" s="144"/>
      <c r="BI66" s="144"/>
      <c r="BJ66" s="144"/>
      <c r="BK66" s="144"/>
      <c r="BL66" s="144"/>
      <c r="BM66" s="144"/>
      <c r="BN66" s="144"/>
      <c r="BO66" s="144"/>
      <c r="BP66" s="144"/>
      <c r="BQ66" s="144"/>
      <c r="BR66" s="144"/>
      <c r="BS66" s="144"/>
      <c r="BT66" s="144"/>
      <c r="BU66" s="144"/>
      <c r="BV66" s="144"/>
      <c r="BW66" s="144"/>
      <c r="BX66" s="144"/>
      <c r="BY66" s="144"/>
      <c r="BZ66" s="144"/>
      <c r="CA66" s="144"/>
      <c r="CB66" s="144"/>
      <c r="CC66" s="144"/>
      <c r="CD66" s="144"/>
      <c r="CE66" s="144"/>
      <c r="CF66" s="144"/>
      <c r="CG66" s="144"/>
      <c r="CH66" s="144"/>
      <c r="CI66" s="144"/>
      <c r="CJ66" s="144"/>
      <c r="CK66" s="144"/>
      <c r="CL66" s="144"/>
      <c r="CM66" s="144"/>
      <c r="CN66" s="144"/>
      <c r="CO66" s="144"/>
      <c r="CP66" s="144"/>
      <c r="CQ66" s="144"/>
      <c r="CR66" s="144"/>
      <c r="CS66" s="144"/>
      <c r="CT66" s="144"/>
      <c r="CU66" s="144"/>
      <c r="CV66" s="144"/>
      <c r="CW66" s="144"/>
      <c r="CX66" s="145"/>
      <c r="CY66" s="139"/>
      <c r="CZ66" s="127">
        <f t="shared" si="2"/>
        <v>0</v>
      </c>
      <c r="DA66" s="129">
        <f t="shared" si="3"/>
        <v>0</v>
      </c>
      <c r="DB66" s="129">
        <f t="shared" si="4"/>
        <v>0</v>
      </c>
      <c r="DC66" s="129">
        <f t="shared" si="5"/>
        <v>0</v>
      </c>
      <c r="DD66" s="129">
        <f t="shared" si="6"/>
        <v>0</v>
      </c>
      <c r="DE66" s="129">
        <f t="shared" si="7"/>
        <v>0</v>
      </c>
      <c r="DF66" s="129">
        <f t="shared" si="8"/>
        <v>0</v>
      </c>
      <c r="DG66" s="129">
        <f t="shared" si="9"/>
        <v>0</v>
      </c>
      <c r="DH66" s="129">
        <f t="shared" si="10"/>
        <v>0</v>
      </c>
      <c r="DI66" s="139"/>
    </row>
    <row r="67" ht="22.5" customHeight="1">
      <c r="A67" s="140" t="str">
        <f t="shared" si="1"/>
        <v>|</v>
      </c>
      <c r="B67" s="141"/>
      <c r="C67" s="142"/>
      <c r="D67" s="143"/>
      <c r="E67" s="143"/>
      <c r="F67" s="143"/>
      <c r="G67" s="144"/>
      <c r="H67" s="144"/>
      <c r="I67" s="144"/>
      <c r="J67" s="145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4"/>
      <c r="AM67" s="144"/>
      <c r="AN67" s="144"/>
      <c r="AO67" s="144"/>
      <c r="AP67" s="144"/>
      <c r="AQ67" s="144"/>
      <c r="AR67" s="144"/>
      <c r="AS67" s="144"/>
      <c r="AT67" s="144"/>
      <c r="AU67" s="144"/>
      <c r="AV67" s="144"/>
      <c r="AW67" s="144"/>
      <c r="AX67" s="144"/>
      <c r="AY67" s="144"/>
      <c r="AZ67" s="144"/>
      <c r="BA67" s="144"/>
      <c r="BB67" s="144"/>
      <c r="BC67" s="144"/>
      <c r="BD67" s="144"/>
      <c r="BE67" s="144"/>
      <c r="BF67" s="144"/>
      <c r="BG67" s="144"/>
      <c r="BH67" s="144"/>
      <c r="BI67" s="144"/>
      <c r="BJ67" s="144"/>
      <c r="BK67" s="144"/>
      <c r="BL67" s="144"/>
      <c r="BM67" s="144"/>
      <c r="BN67" s="144"/>
      <c r="BO67" s="144"/>
      <c r="BP67" s="144"/>
      <c r="BQ67" s="144"/>
      <c r="BR67" s="144"/>
      <c r="BS67" s="144"/>
      <c r="BT67" s="144"/>
      <c r="BU67" s="144"/>
      <c r="BV67" s="144"/>
      <c r="BW67" s="144"/>
      <c r="BX67" s="144"/>
      <c r="BY67" s="144"/>
      <c r="BZ67" s="144"/>
      <c r="CA67" s="144"/>
      <c r="CB67" s="144"/>
      <c r="CC67" s="144"/>
      <c r="CD67" s="144"/>
      <c r="CE67" s="144"/>
      <c r="CF67" s="144"/>
      <c r="CG67" s="144"/>
      <c r="CH67" s="144"/>
      <c r="CI67" s="144"/>
      <c r="CJ67" s="144"/>
      <c r="CK67" s="144"/>
      <c r="CL67" s="144"/>
      <c r="CM67" s="144"/>
      <c r="CN67" s="144"/>
      <c r="CO67" s="144"/>
      <c r="CP67" s="144"/>
      <c r="CQ67" s="144"/>
      <c r="CR67" s="144"/>
      <c r="CS67" s="144"/>
      <c r="CT67" s="144"/>
      <c r="CU67" s="144"/>
      <c r="CV67" s="144"/>
      <c r="CW67" s="144"/>
      <c r="CX67" s="145"/>
      <c r="CY67" s="139"/>
      <c r="CZ67" s="127">
        <f t="shared" si="2"/>
        <v>0</v>
      </c>
      <c r="DA67" s="129">
        <f t="shared" si="3"/>
        <v>0</v>
      </c>
      <c r="DB67" s="129">
        <f t="shared" si="4"/>
        <v>0</v>
      </c>
      <c r="DC67" s="129">
        <f t="shared" si="5"/>
        <v>0</v>
      </c>
      <c r="DD67" s="129">
        <f t="shared" si="6"/>
        <v>0</v>
      </c>
      <c r="DE67" s="129">
        <f t="shared" si="7"/>
        <v>0</v>
      </c>
      <c r="DF67" s="129">
        <f t="shared" si="8"/>
        <v>0</v>
      </c>
      <c r="DG67" s="129">
        <f t="shared" si="9"/>
        <v>0</v>
      </c>
      <c r="DH67" s="129">
        <f t="shared" si="10"/>
        <v>0</v>
      </c>
      <c r="DI67" s="139"/>
    </row>
    <row r="68" ht="22.5" customHeight="1">
      <c r="A68" s="140" t="str">
        <f t="shared" si="1"/>
        <v>|</v>
      </c>
      <c r="B68" s="141"/>
      <c r="C68" s="142"/>
      <c r="D68" s="143"/>
      <c r="E68" s="143"/>
      <c r="F68" s="143"/>
      <c r="G68" s="144"/>
      <c r="H68" s="144"/>
      <c r="I68" s="144"/>
      <c r="J68" s="145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4"/>
      <c r="BE68" s="144"/>
      <c r="BF68" s="144"/>
      <c r="BG68" s="144"/>
      <c r="BH68" s="144"/>
      <c r="BI68" s="144"/>
      <c r="BJ68" s="144"/>
      <c r="BK68" s="144"/>
      <c r="BL68" s="144"/>
      <c r="BM68" s="144"/>
      <c r="BN68" s="144"/>
      <c r="BO68" s="144"/>
      <c r="BP68" s="144"/>
      <c r="BQ68" s="144"/>
      <c r="BR68" s="144"/>
      <c r="BS68" s="144"/>
      <c r="BT68" s="144"/>
      <c r="BU68" s="144"/>
      <c r="BV68" s="144"/>
      <c r="BW68" s="144"/>
      <c r="BX68" s="144"/>
      <c r="BY68" s="144"/>
      <c r="BZ68" s="144"/>
      <c r="CA68" s="144"/>
      <c r="CB68" s="144"/>
      <c r="CC68" s="144"/>
      <c r="CD68" s="144"/>
      <c r="CE68" s="144"/>
      <c r="CF68" s="144"/>
      <c r="CG68" s="144"/>
      <c r="CH68" s="144"/>
      <c r="CI68" s="144"/>
      <c r="CJ68" s="144"/>
      <c r="CK68" s="144"/>
      <c r="CL68" s="144"/>
      <c r="CM68" s="144"/>
      <c r="CN68" s="144"/>
      <c r="CO68" s="144"/>
      <c r="CP68" s="144"/>
      <c r="CQ68" s="144"/>
      <c r="CR68" s="144"/>
      <c r="CS68" s="144"/>
      <c r="CT68" s="144"/>
      <c r="CU68" s="144"/>
      <c r="CV68" s="144"/>
      <c r="CW68" s="144"/>
      <c r="CX68" s="145"/>
      <c r="CY68" s="139"/>
      <c r="CZ68" s="127">
        <f t="shared" si="2"/>
        <v>0</v>
      </c>
      <c r="DA68" s="129">
        <f t="shared" si="3"/>
        <v>0</v>
      </c>
      <c r="DB68" s="129">
        <f t="shared" si="4"/>
        <v>0</v>
      </c>
      <c r="DC68" s="129">
        <f t="shared" si="5"/>
        <v>0</v>
      </c>
      <c r="DD68" s="129">
        <f t="shared" si="6"/>
        <v>0</v>
      </c>
      <c r="DE68" s="129">
        <f t="shared" si="7"/>
        <v>0</v>
      </c>
      <c r="DF68" s="129">
        <f t="shared" si="8"/>
        <v>0</v>
      </c>
      <c r="DG68" s="129">
        <f t="shared" si="9"/>
        <v>0</v>
      </c>
      <c r="DH68" s="129">
        <f t="shared" si="10"/>
        <v>0</v>
      </c>
      <c r="DI68" s="139"/>
    </row>
    <row r="69" ht="22.5" customHeight="1">
      <c r="A69" s="140" t="str">
        <f t="shared" si="1"/>
        <v>|</v>
      </c>
      <c r="B69" s="141"/>
      <c r="C69" s="142"/>
      <c r="D69" s="143"/>
      <c r="E69" s="143"/>
      <c r="F69" s="143"/>
      <c r="G69" s="144"/>
      <c r="H69" s="144"/>
      <c r="I69" s="144"/>
      <c r="J69" s="145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144"/>
      <c r="AR69" s="144"/>
      <c r="AS69" s="144"/>
      <c r="AT69" s="144"/>
      <c r="AU69" s="144"/>
      <c r="AV69" s="144"/>
      <c r="AW69" s="144"/>
      <c r="AX69" s="144"/>
      <c r="AY69" s="144"/>
      <c r="AZ69" s="144"/>
      <c r="BA69" s="144"/>
      <c r="BB69" s="144"/>
      <c r="BC69" s="144"/>
      <c r="BD69" s="144"/>
      <c r="BE69" s="144"/>
      <c r="BF69" s="144"/>
      <c r="BG69" s="144"/>
      <c r="BH69" s="144"/>
      <c r="BI69" s="144"/>
      <c r="BJ69" s="144"/>
      <c r="BK69" s="144"/>
      <c r="BL69" s="144"/>
      <c r="BM69" s="144"/>
      <c r="BN69" s="144"/>
      <c r="BO69" s="144"/>
      <c r="BP69" s="144"/>
      <c r="BQ69" s="144"/>
      <c r="BR69" s="144"/>
      <c r="BS69" s="144"/>
      <c r="BT69" s="144"/>
      <c r="BU69" s="144"/>
      <c r="BV69" s="144"/>
      <c r="BW69" s="144"/>
      <c r="BX69" s="144"/>
      <c r="BY69" s="144"/>
      <c r="BZ69" s="144"/>
      <c r="CA69" s="144"/>
      <c r="CB69" s="144"/>
      <c r="CC69" s="144"/>
      <c r="CD69" s="144"/>
      <c r="CE69" s="144"/>
      <c r="CF69" s="144"/>
      <c r="CG69" s="144"/>
      <c r="CH69" s="144"/>
      <c r="CI69" s="144"/>
      <c r="CJ69" s="144"/>
      <c r="CK69" s="144"/>
      <c r="CL69" s="144"/>
      <c r="CM69" s="144"/>
      <c r="CN69" s="144"/>
      <c r="CO69" s="144"/>
      <c r="CP69" s="144"/>
      <c r="CQ69" s="144"/>
      <c r="CR69" s="144"/>
      <c r="CS69" s="144"/>
      <c r="CT69" s="144"/>
      <c r="CU69" s="144"/>
      <c r="CV69" s="144"/>
      <c r="CW69" s="144"/>
      <c r="CX69" s="145"/>
      <c r="CY69" s="139"/>
      <c r="CZ69" s="127">
        <f t="shared" si="2"/>
        <v>0</v>
      </c>
      <c r="DA69" s="129">
        <f t="shared" si="3"/>
        <v>0</v>
      </c>
      <c r="DB69" s="129">
        <f t="shared" si="4"/>
        <v>0</v>
      </c>
      <c r="DC69" s="129">
        <f t="shared" si="5"/>
        <v>0</v>
      </c>
      <c r="DD69" s="129">
        <f t="shared" si="6"/>
        <v>0</v>
      </c>
      <c r="DE69" s="129">
        <f t="shared" si="7"/>
        <v>0</v>
      </c>
      <c r="DF69" s="129">
        <f t="shared" si="8"/>
        <v>0</v>
      </c>
      <c r="DG69" s="129">
        <f t="shared" si="9"/>
        <v>0</v>
      </c>
      <c r="DH69" s="129">
        <f t="shared" si="10"/>
        <v>0</v>
      </c>
      <c r="DI69" s="139"/>
    </row>
    <row r="70" ht="22.5" customHeight="1">
      <c r="A70" s="140" t="str">
        <f t="shared" si="1"/>
        <v>|</v>
      </c>
      <c r="B70" s="141"/>
      <c r="C70" s="142"/>
      <c r="D70" s="143"/>
      <c r="E70" s="143"/>
      <c r="F70" s="143"/>
      <c r="G70" s="144"/>
      <c r="H70" s="144"/>
      <c r="I70" s="144"/>
      <c r="J70" s="145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144"/>
      <c r="AR70" s="144"/>
      <c r="AS70" s="144"/>
      <c r="AT70" s="144"/>
      <c r="AU70" s="144"/>
      <c r="AV70" s="144"/>
      <c r="AW70" s="144"/>
      <c r="AX70" s="144"/>
      <c r="AY70" s="144"/>
      <c r="AZ70" s="144"/>
      <c r="BA70" s="144"/>
      <c r="BB70" s="144"/>
      <c r="BC70" s="144"/>
      <c r="BD70" s="144"/>
      <c r="BE70" s="144"/>
      <c r="BF70" s="144"/>
      <c r="BG70" s="144"/>
      <c r="BH70" s="144"/>
      <c r="BI70" s="144"/>
      <c r="BJ70" s="144"/>
      <c r="BK70" s="144"/>
      <c r="BL70" s="144"/>
      <c r="BM70" s="144"/>
      <c r="BN70" s="144"/>
      <c r="BO70" s="144"/>
      <c r="BP70" s="144"/>
      <c r="BQ70" s="144"/>
      <c r="BR70" s="144"/>
      <c r="BS70" s="144"/>
      <c r="BT70" s="144"/>
      <c r="BU70" s="144"/>
      <c r="BV70" s="144"/>
      <c r="BW70" s="144"/>
      <c r="BX70" s="144"/>
      <c r="BY70" s="144"/>
      <c r="BZ70" s="144"/>
      <c r="CA70" s="144"/>
      <c r="CB70" s="144"/>
      <c r="CC70" s="144"/>
      <c r="CD70" s="144"/>
      <c r="CE70" s="144"/>
      <c r="CF70" s="144"/>
      <c r="CG70" s="144"/>
      <c r="CH70" s="144"/>
      <c r="CI70" s="144"/>
      <c r="CJ70" s="144"/>
      <c r="CK70" s="144"/>
      <c r="CL70" s="144"/>
      <c r="CM70" s="144"/>
      <c r="CN70" s="144"/>
      <c r="CO70" s="144"/>
      <c r="CP70" s="144"/>
      <c r="CQ70" s="144"/>
      <c r="CR70" s="144"/>
      <c r="CS70" s="144"/>
      <c r="CT70" s="144"/>
      <c r="CU70" s="144"/>
      <c r="CV70" s="144"/>
      <c r="CW70" s="144"/>
      <c r="CX70" s="145"/>
      <c r="CY70" s="139"/>
      <c r="CZ70" s="127">
        <f t="shared" si="2"/>
        <v>0</v>
      </c>
      <c r="DA70" s="129">
        <f t="shared" si="3"/>
        <v>0</v>
      </c>
      <c r="DB70" s="129">
        <f t="shared" si="4"/>
        <v>0</v>
      </c>
      <c r="DC70" s="129">
        <f t="shared" si="5"/>
        <v>0</v>
      </c>
      <c r="DD70" s="129">
        <f t="shared" si="6"/>
        <v>0</v>
      </c>
      <c r="DE70" s="129">
        <f t="shared" si="7"/>
        <v>0</v>
      </c>
      <c r="DF70" s="129">
        <f t="shared" si="8"/>
        <v>0</v>
      </c>
      <c r="DG70" s="129">
        <f t="shared" si="9"/>
        <v>0</v>
      </c>
      <c r="DH70" s="129">
        <f t="shared" si="10"/>
        <v>0</v>
      </c>
      <c r="DI70" s="139"/>
    </row>
    <row r="71" ht="22.5" customHeight="1">
      <c r="A71" s="140" t="str">
        <f t="shared" si="1"/>
        <v>|</v>
      </c>
      <c r="B71" s="141"/>
      <c r="C71" s="142"/>
      <c r="D71" s="143"/>
      <c r="E71" s="143"/>
      <c r="F71" s="143"/>
      <c r="G71" s="144"/>
      <c r="H71" s="144"/>
      <c r="I71" s="144"/>
      <c r="J71" s="145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144"/>
      <c r="AR71" s="144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  <c r="BM71" s="144"/>
      <c r="BN71" s="144"/>
      <c r="BO71" s="144"/>
      <c r="BP71" s="144"/>
      <c r="BQ71" s="144"/>
      <c r="BR71" s="144"/>
      <c r="BS71" s="144"/>
      <c r="BT71" s="144"/>
      <c r="BU71" s="144"/>
      <c r="BV71" s="144"/>
      <c r="BW71" s="144"/>
      <c r="BX71" s="144"/>
      <c r="BY71" s="144"/>
      <c r="BZ71" s="144"/>
      <c r="CA71" s="144"/>
      <c r="CB71" s="144"/>
      <c r="CC71" s="144"/>
      <c r="CD71" s="144"/>
      <c r="CE71" s="144"/>
      <c r="CF71" s="144"/>
      <c r="CG71" s="144"/>
      <c r="CH71" s="144"/>
      <c r="CI71" s="144"/>
      <c r="CJ71" s="144"/>
      <c r="CK71" s="144"/>
      <c r="CL71" s="144"/>
      <c r="CM71" s="144"/>
      <c r="CN71" s="144"/>
      <c r="CO71" s="144"/>
      <c r="CP71" s="144"/>
      <c r="CQ71" s="144"/>
      <c r="CR71" s="144"/>
      <c r="CS71" s="144"/>
      <c r="CT71" s="144"/>
      <c r="CU71" s="144"/>
      <c r="CV71" s="144"/>
      <c r="CW71" s="144"/>
      <c r="CX71" s="145"/>
      <c r="CY71" s="139"/>
      <c r="CZ71" s="127">
        <f t="shared" si="2"/>
        <v>0</v>
      </c>
      <c r="DA71" s="129">
        <f t="shared" si="3"/>
        <v>0</v>
      </c>
      <c r="DB71" s="129">
        <f t="shared" si="4"/>
        <v>0</v>
      </c>
      <c r="DC71" s="129">
        <f t="shared" si="5"/>
        <v>0</v>
      </c>
      <c r="DD71" s="129">
        <f t="shared" si="6"/>
        <v>0</v>
      </c>
      <c r="DE71" s="129">
        <f t="shared" si="7"/>
        <v>0</v>
      </c>
      <c r="DF71" s="129">
        <f t="shared" si="8"/>
        <v>0</v>
      </c>
      <c r="DG71" s="129">
        <f t="shared" si="9"/>
        <v>0</v>
      </c>
      <c r="DH71" s="129">
        <f t="shared" si="10"/>
        <v>0</v>
      </c>
      <c r="DI71" s="139"/>
    </row>
    <row r="72" ht="22.5" customHeight="1">
      <c r="A72" s="140" t="str">
        <f t="shared" si="1"/>
        <v>|</v>
      </c>
      <c r="B72" s="141"/>
      <c r="C72" s="142"/>
      <c r="D72" s="143"/>
      <c r="E72" s="143"/>
      <c r="F72" s="143"/>
      <c r="G72" s="144"/>
      <c r="H72" s="144"/>
      <c r="I72" s="144"/>
      <c r="J72" s="145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144"/>
      <c r="AG72" s="144"/>
      <c r="AH72" s="144"/>
      <c r="AI72" s="144"/>
      <c r="AJ72" s="144"/>
      <c r="AK72" s="144"/>
      <c r="AL72" s="144"/>
      <c r="AM72" s="144"/>
      <c r="AN72" s="144"/>
      <c r="AO72" s="144"/>
      <c r="AP72" s="144"/>
      <c r="AQ72" s="144"/>
      <c r="AR72" s="144"/>
      <c r="AS72" s="144"/>
      <c r="AT72" s="144"/>
      <c r="AU72" s="144"/>
      <c r="AV72" s="144"/>
      <c r="AW72" s="144"/>
      <c r="AX72" s="144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  <c r="BM72" s="144"/>
      <c r="BN72" s="144"/>
      <c r="BO72" s="144"/>
      <c r="BP72" s="144"/>
      <c r="BQ72" s="144"/>
      <c r="BR72" s="144"/>
      <c r="BS72" s="144"/>
      <c r="BT72" s="144"/>
      <c r="BU72" s="144"/>
      <c r="BV72" s="144"/>
      <c r="BW72" s="144"/>
      <c r="BX72" s="144"/>
      <c r="BY72" s="144"/>
      <c r="BZ72" s="144"/>
      <c r="CA72" s="144"/>
      <c r="CB72" s="144"/>
      <c r="CC72" s="144"/>
      <c r="CD72" s="144"/>
      <c r="CE72" s="144"/>
      <c r="CF72" s="144"/>
      <c r="CG72" s="144"/>
      <c r="CH72" s="144"/>
      <c r="CI72" s="144"/>
      <c r="CJ72" s="144"/>
      <c r="CK72" s="144"/>
      <c r="CL72" s="144"/>
      <c r="CM72" s="144"/>
      <c r="CN72" s="144"/>
      <c r="CO72" s="144"/>
      <c r="CP72" s="144"/>
      <c r="CQ72" s="144"/>
      <c r="CR72" s="144"/>
      <c r="CS72" s="144"/>
      <c r="CT72" s="144"/>
      <c r="CU72" s="144"/>
      <c r="CV72" s="144"/>
      <c r="CW72" s="144"/>
      <c r="CX72" s="145"/>
      <c r="CY72" s="139"/>
      <c r="CZ72" s="127">
        <f t="shared" si="2"/>
        <v>0</v>
      </c>
      <c r="DA72" s="129">
        <f t="shared" si="3"/>
        <v>0</v>
      </c>
      <c r="DB72" s="129">
        <f t="shared" si="4"/>
        <v>0</v>
      </c>
      <c r="DC72" s="129">
        <f t="shared" si="5"/>
        <v>0</v>
      </c>
      <c r="DD72" s="129">
        <f t="shared" si="6"/>
        <v>0</v>
      </c>
      <c r="DE72" s="129">
        <f t="shared" si="7"/>
        <v>0</v>
      </c>
      <c r="DF72" s="129">
        <f t="shared" si="8"/>
        <v>0</v>
      </c>
      <c r="DG72" s="129">
        <f t="shared" si="9"/>
        <v>0</v>
      </c>
      <c r="DH72" s="129">
        <f t="shared" si="10"/>
        <v>0</v>
      </c>
      <c r="DI72" s="139"/>
    </row>
    <row r="73" ht="22.5" customHeight="1">
      <c r="A73" s="140" t="str">
        <f t="shared" si="1"/>
        <v>|</v>
      </c>
      <c r="B73" s="141"/>
      <c r="C73" s="142"/>
      <c r="D73" s="143"/>
      <c r="E73" s="143"/>
      <c r="F73" s="143"/>
      <c r="G73" s="144"/>
      <c r="H73" s="144"/>
      <c r="I73" s="144"/>
      <c r="J73" s="145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  <c r="AD73" s="144"/>
      <c r="AE73" s="144"/>
      <c r="AF73" s="144"/>
      <c r="AG73" s="144"/>
      <c r="AH73" s="144"/>
      <c r="AI73" s="144"/>
      <c r="AJ73" s="144"/>
      <c r="AK73" s="144"/>
      <c r="AL73" s="144"/>
      <c r="AM73" s="144"/>
      <c r="AN73" s="144"/>
      <c r="AO73" s="144"/>
      <c r="AP73" s="144"/>
      <c r="AQ73" s="144"/>
      <c r="AR73" s="144"/>
      <c r="AS73" s="144"/>
      <c r="AT73" s="144"/>
      <c r="AU73" s="144"/>
      <c r="AV73" s="144"/>
      <c r="AW73" s="144"/>
      <c r="AX73" s="144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  <c r="BM73" s="144"/>
      <c r="BN73" s="144"/>
      <c r="BO73" s="144"/>
      <c r="BP73" s="144"/>
      <c r="BQ73" s="144"/>
      <c r="BR73" s="144"/>
      <c r="BS73" s="144"/>
      <c r="BT73" s="144"/>
      <c r="BU73" s="144"/>
      <c r="BV73" s="144"/>
      <c r="BW73" s="144"/>
      <c r="BX73" s="144"/>
      <c r="BY73" s="144"/>
      <c r="BZ73" s="144"/>
      <c r="CA73" s="144"/>
      <c r="CB73" s="144"/>
      <c r="CC73" s="144"/>
      <c r="CD73" s="144"/>
      <c r="CE73" s="144"/>
      <c r="CF73" s="144"/>
      <c r="CG73" s="144"/>
      <c r="CH73" s="144"/>
      <c r="CI73" s="144"/>
      <c r="CJ73" s="144"/>
      <c r="CK73" s="144"/>
      <c r="CL73" s="144"/>
      <c r="CM73" s="144"/>
      <c r="CN73" s="144"/>
      <c r="CO73" s="144"/>
      <c r="CP73" s="144"/>
      <c r="CQ73" s="144"/>
      <c r="CR73" s="144"/>
      <c r="CS73" s="144"/>
      <c r="CT73" s="144"/>
      <c r="CU73" s="144"/>
      <c r="CV73" s="144"/>
      <c r="CW73" s="144"/>
      <c r="CX73" s="145"/>
      <c r="CY73" s="139"/>
      <c r="CZ73" s="127">
        <f t="shared" si="2"/>
        <v>0</v>
      </c>
      <c r="DA73" s="129">
        <f t="shared" si="3"/>
        <v>0</v>
      </c>
      <c r="DB73" s="129">
        <f t="shared" si="4"/>
        <v>0</v>
      </c>
      <c r="DC73" s="129">
        <f t="shared" si="5"/>
        <v>0</v>
      </c>
      <c r="DD73" s="129">
        <f t="shared" si="6"/>
        <v>0</v>
      </c>
      <c r="DE73" s="129">
        <f t="shared" si="7"/>
        <v>0</v>
      </c>
      <c r="DF73" s="129">
        <f t="shared" si="8"/>
        <v>0</v>
      </c>
      <c r="DG73" s="129">
        <f t="shared" si="9"/>
        <v>0</v>
      </c>
      <c r="DH73" s="129">
        <f t="shared" si="10"/>
        <v>0</v>
      </c>
      <c r="DI73" s="139"/>
    </row>
    <row r="74" ht="22.5" customHeight="1">
      <c r="A74" s="140" t="str">
        <f t="shared" si="1"/>
        <v>|</v>
      </c>
      <c r="B74" s="141"/>
      <c r="C74" s="142"/>
      <c r="D74" s="143"/>
      <c r="E74" s="143"/>
      <c r="F74" s="143"/>
      <c r="G74" s="144"/>
      <c r="H74" s="144"/>
      <c r="I74" s="144"/>
      <c r="J74" s="145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  <c r="AD74" s="144"/>
      <c r="AE74" s="144"/>
      <c r="AF74" s="144"/>
      <c r="AG74" s="144"/>
      <c r="AH74" s="144"/>
      <c r="AI74" s="144"/>
      <c r="AJ74" s="144"/>
      <c r="AK74" s="144"/>
      <c r="AL74" s="144"/>
      <c r="AM74" s="144"/>
      <c r="AN74" s="144"/>
      <c r="AO74" s="144"/>
      <c r="AP74" s="144"/>
      <c r="AQ74" s="144"/>
      <c r="AR74" s="144"/>
      <c r="AS74" s="144"/>
      <c r="AT74" s="144"/>
      <c r="AU74" s="144"/>
      <c r="AV74" s="144"/>
      <c r="AW74" s="144"/>
      <c r="AX74" s="144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  <c r="BM74" s="144"/>
      <c r="BN74" s="144"/>
      <c r="BO74" s="144"/>
      <c r="BP74" s="144"/>
      <c r="BQ74" s="144"/>
      <c r="BR74" s="144"/>
      <c r="BS74" s="144"/>
      <c r="BT74" s="144"/>
      <c r="BU74" s="144"/>
      <c r="BV74" s="144"/>
      <c r="BW74" s="144"/>
      <c r="BX74" s="144"/>
      <c r="BY74" s="144"/>
      <c r="BZ74" s="144"/>
      <c r="CA74" s="144"/>
      <c r="CB74" s="144"/>
      <c r="CC74" s="144"/>
      <c r="CD74" s="144"/>
      <c r="CE74" s="144"/>
      <c r="CF74" s="144"/>
      <c r="CG74" s="144"/>
      <c r="CH74" s="144"/>
      <c r="CI74" s="144"/>
      <c r="CJ74" s="144"/>
      <c r="CK74" s="144"/>
      <c r="CL74" s="144"/>
      <c r="CM74" s="144"/>
      <c r="CN74" s="144"/>
      <c r="CO74" s="144"/>
      <c r="CP74" s="144"/>
      <c r="CQ74" s="144"/>
      <c r="CR74" s="144"/>
      <c r="CS74" s="144"/>
      <c r="CT74" s="144"/>
      <c r="CU74" s="144"/>
      <c r="CV74" s="144"/>
      <c r="CW74" s="144"/>
      <c r="CX74" s="145"/>
      <c r="CY74" s="139"/>
      <c r="CZ74" s="127">
        <f t="shared" si="2"/>
        <v>0</v>
      </c>
      <c r="DA74" s="129">
        <f t="shared" si="3"/>
        <v>0</v>
      </c>
      <c r="DB74" s="129">
        <f t="shared" si="4"/>
        <v>0</v>
      </c>
      <c r="DC74" s="129">
        <f t="shared" si="5"/>
        <v>0</v>
      </c>
      <c r="DD74" s="129">
        <f t="shared" si="6"/>
        <v>0</v>
      </c>
      <c r="DE74" s="129">
        <f t="shared" si="7"/>
        <v>0</v>
      </c>
      <c r="DF74" s="129">
        <f t="shared" si="8"/>
        <v>0</v>
      </c>
      <c r="DG74" s="129">
        <f t="shared" si="9"/>
        <v>0</v>
      </c>
      <c r="DH74" s="129">
        <f t="shared" si="10"/>
        <v>0</v>
      </c>
      <c r="DI74" s="139"/>
    </row>
    <row r="75" ht="22.5" customHeight="1">
      <c r="A75" s="140" t="str">
        <f t="shared" si="1"/>
        <v>|</v>
      </c>
      <c r="B75" s="141"/>
      <c r="C75" s="142"/>
      <c r="D75" s="143"/>
      <c r="E75" s="143"/>
      <c r="F75" s="143"/>
      <c r="G75" s="144"/>
      <c r="H75" s="144"/>
      <c r="I75" s="144"/>
      <c r="J75" s="145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  <c r="AD75" s="144"/>
      <c r="AE75" s="144"/>
      <c r="AF75" s="144"/>
      <c r="AG75" s="144"/>
      <c r="AH75" s="144"/>
      <c r="AI75" s="144"/>
      <c r="AJ75" s="144"/>
      <c r="AK75" s="144"/>
      <c r="AL75" s="144"/>
      <c r="AM75" s="144"/>
      <c r="AN75" s="144"/>
      <c r="AO75" s="144"/>
      <c r="AP75" s="144"/>
      <c r="AQ75" s="144"/>
      <c r="AR75" s="144"/>
      <c r="AS75" s="144"/>
      <c r="AT75" s="144"/>
      <c r="AU75" s="144"/>
      <c r="AV75" s="144"/>
      <c r="AW75" s="144"/>
      <c r="AX75" s="144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  <c r="BM75" s="144"/>
      <c r="BN75" s="144"/>
      <c r="BO75" s="144"/>
      <c r="BP75" s="144"/>
      <c r="BQ75" s="144"/>
      <c r="BR75" s="144"/>
      <c r="BS75" s="144"/>
      <c r="BT75" s="144"/>
      <c r="BU75" s="144"/>
      <c r="BV75" s="144"/>
      <c r="BW75" s="144"/>
      <c r="BX75" s="144"/>
      <c r="BY75" s="144"/>
      <c r="BZ75" s="144"/>
      <c r="CA75" s="144"/>
      <c r="CB75" s="144"/>
      <c r="CC75" s="144"/>
      <c r="CD75" s="144"/>
      <c r="CE75" s="144"/>
      <c r="CF75" s="144"/>
      <c r="CG75" s="144"/>
      <c r="CH75" s="144"/>
      <c r="CI75" s="144"/>
      <c r="CJ75" s="144"/>
      <c r="CK75" s="144"/>
      <c r="CL75" s="144"/>
      <c r="CM75" s="144"/>
      <c r="CN75" s="144"/>
      <c r="CO75" s="144"/>
      <c r="CP75" s="144"/>
      <c r="CQ75" s="144"/>
      <c r="CR75" s="144"/>
      <c r="CS75" s="144"/>
      <c r="CT75" s="144"/>
      <c r="CU75" s="144"/>
      <c r="CV75" s="144"/>
      <c r="CW75" s="144"/>
      <c r="CX75" s="145"/>
      <c r="CY75" s="139"/>
      <c r="CZ75" s="127">
        <f t="shared" si="2"/>
        <v>0</v>
      </c>
      <c r="DA75" s="129">
        <f t="shared" si="3"/>
        <v>0</v>
      </c>
      <c r="DB75" s="129">
        <f t="shared" si="4"/>
        <v>0</v>
      </c>
      <c r="DC75" s="129">
        <f t="shared" si="5"/>
        <v>0</v>
      </c>
      <c r="DD75" s="129">
        <f t="shared" si="6"/>
        <v>0</v>
      </c>
      <c r="DE75" s="129">
        <f t="shared" si="7"/>
        <v>0</v>
      </c>
      <c r="DF75" s="129">
        <f t="shared" si="8"/>
        <v>0</v>
      </c>
      <c r="DG75" s="129">
        <f t="shared" si="9"/>
        <v>0</v>
      </c>
      <c r="DH75" s="129">
        <f t="shared" si="10"/>
        <v>0</v>
      </c>
      <c r="DI75" s="139"/>
    </row>
    <row r="76" ht="22.5" customHeight="1">
      <c r="A76" s="140" t="str">
        <f t="shared" si="1"/>
        <v>|</v>
      </c>
      <c r="B76" s="141"/>
      <c r="C76" s="142"/>
      <c r="D76" s="143"/>
      <c r="E76" s="143"/>
      <c r="F76" s="143"/>
      <c r="G76" s="144"/>
      <c r="H76" s="144"/>
      <c r="I76" s="144"/>
      <c r="J76" s="145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  <c r="AD76" s="144"/>
      <c r="AE76" s="144"/>
      <c r="AF76" s="144"/>
      <c r="AG76" s="144"/>
      <c r="AH76" s="144"/>
      <c r="AI76" s="144"/>
      <c r="AJ76" s="144"/>
      <c r="AK76" s="144"/>
      <c r="AL76" s="144"/>
      <c r="AM76" s="144"/>
      <c r="AN76" s="144"/>
      <c r="AO76" s="144"/>
      <c r="AP76" s="144"/>
      <c r="AQ76" s="144"/>
      <c r="AR76" s="144"/>
      <c r="AS76" s="144"/>
      <c r="AT76" s="144"/>
      <c r="AU76" s="144"/>
      <c r="AV76" s="144"/>
      <c r="AW76" s="144"/>
      <c r="AX76" s="144"/>
      <c r="AY76" s="144"/>
      <c r="AZ76" s="144"/>
      <c r="BA76" s="144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144"/>
      <c r="BN76" s="144"/>
      <c r="BO76" s="144"/>
      <c r="BP76" s="144"/>
      <c r="BQ76" s="144"/>
      <c r="BR76" s="144"/>
      <c r="BS76" s="144"/>
      <c r="BT76" s="144"/>
      <c r="BU76" s="144"/>
      <c r="BV76" s="144"/>
      <c r="BW76" s="144"/>
      <c r="BX76" s="144"/>
      <c r="BY76" s="144"/>
      <c r="BZ76" s="144"/>
      <c r="CA76" s="144"/>
      <c r="CB76" s="144"/>
      <c r="CC76" s="144"/>
      <c r="CD76" s="144"/>
      <c r="CE76" s="144"/>
      <c r="CF76" s="144"/>
      <c r="CG76" s="144"/>
      <c r="CH76" s="144"/>
      <c r="CI76" s="144"/>
      <c r="CJ76" s="144"/>
      <c r="CK76" s="144"/>
      <c r="CL76" s="144"/>
      <c r="CM76" s="144"/>
      <c r="CN76" s="144"/>
      <c r="CO76" s="144"/>
      <c r="CP76" s="144"/>
      <c r="CQ76" s="144"/>
      <c r="CR76" s="144"/>
      <c r="CS76" s="144"/>
      <c r="CT76" s="144"/>
      <c r="CU76" s="144"/>
      <c r="CV76" s="144"/>
      <c r="CW76" s="144"/>
      <c r="CX76" s="145"/>
      <c r="CY76" s="139"/>
      <c r="CZ76" s="127">
        <f t="shared" si="2"/>
        <v>0</v>
      </c>
      <c r="DA76" s="129">
        <f t="shared" si="3"/>
        <v>0</v>
      </c>
      <c r="DB76" s="129">
        <f t="shared" si="4"/>
        <v>0</v>
      </c>
      <c r="DC76" s="129">
        <f t="shared" si="5"/>
        <v>0</v>
      </c>
      <c r="DD76" s="129">
        <f t="shared" si="6"/>
        <v>0</v>
      </c>
      <c r="DE76" s="129">
        <f t="shared" si="7"/>
        <v>0</v>
      </c>
      <c r="DF76" s="129">
        <f t="shared" si="8"/>
        <v>0</v>
      </c>
      <c r="DG76" s="129">
        <f t="shared" si="9"/>
        <v>0</v>
      </c>
      <c r="DH76" s="129">
        <f t="shared" si="10"/>
        <v>0</v>
      </c>
      <c r="DI76" s="139"/>
    </row>
    <row r="77" ht="22.5" customHeight="1">
      <c r="A77" s="140" t="str">
        <f t="shared" si="1"/>
        <v>|</v>
      </c>
      <c r="B77" s="141"/>
      <c r="C77" s="142"/>
      <c r="D77" s="143"/>
      <c r="E77" s="143"/>
      <c r="F77" s="143"/>
      <c r="G77" s="144"/>
      <c r="H77" s="144"/>
      <c r="I77" s="144"/>
      <c r="J77" s="145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  <c r="AD77" s="144"/>
      <c r="AE77" s="144"/>
      <c r="AF77" s="144"/>
      <c r="AG77" s="144"/>
      <c r="AH77" s="144"/>
      <c r="AI77" s="144"/>
      <c r="AJ77" s="144"/>
      <c r="AK77" s="144"/>
      <c r="AL77" s="144"/>
      <c r="AM77" s="144"/>
      <c r="AN77" s="144"/>
      <c r="AO77" s="144"/>
      <c r="AP77" s="144"/>
      <c r="AQ77" s="144"/>
      <c r="AR77" s="144"/>
      <c r="AS77" s="144"/>
      <c r="AT77" s="144"/>
      <c r="AU77" s="144"/>
      <c r="AV77" s="144"/>
      <c r="AW77" s="144"/>
      <c r="AX77" s="144"/>
      <c r="AY77" s="144"/>
      <c r="AZ77" s="144"/>
      <c r="BA77" s="144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144"/>
      <c r="BN77" s="144"/>
      <c r="BO77" s="144"/>
      <c r="BP77" s="144"/>
      <c r="BQ77" s="144"/>
      <c r="BR77" s="144"/>
      <c r="BS77" s="144"/>
      <c r="BT77" s="144"/>
      <c r="BU77" s="144"/>
      <c r="BV77" s="144"/>
      <c r="BW77" s="144"/>
      <c r="BX77" s="144"/>
      <c r="BY77" s="144"/>
      <c r="BZ77" s="144"/>
      <c r="CA77" s="144"/>
      <c r="CB77" s="144"/>
      <c r="CC77" s="144"/>
      <c r="CD77" s="144"/>
      <c r="CE77" s="144"/>
      <c r="CF77" s="144"/>
      <c r="CG77" s="144"/>
      <c r="CH77" s="144"/>
      <c r="CI77" s="144"/>
      <c r="CJ77" s="144"/>
      <c r="CK77" s="144"/>
      <c r="CL77" s="144"/>
      <c r="CM77" s="144"/>
      <c r="CN77" s="144"/>
      <c r="CO77" s="144"/>
      <c r="CP77" s="144"/>
      <c r="CQ77" s="144"/>
      <c r="CR77" s="144"/>
      <c r="CS77" s="144"/>
      <c r="CT77" s="144"/>
      <c r="CU77" s="144"/>
      <c r="CV77" s="144"/>
      <c r="CW77" s="144"/>
      <c r="CX77" s="145"/>
      <c r="CY77" s="139"/>
      <c r="CZ77" s="127">
        <f t="shared" si="2"/>
        <v>0</v>
      </c>
      <c r="DA77" s="129">
        <f t="shared" si="3"/>
        <v>0</v>
      </c>
      <c r="DB77" s="129">
        <f t="shared" si="4"/>
        <v>0</v>
      </c>
      <c r="DC77" s="129">
        <f t="shared" si="5"/>
        <v>0</v>
      </c>
      <c r="DD77" s="129">
        <f t="shared" si="6"/>
        <v>0</v>
      </c>
      <c r="DE77" s="129">
        <f t="shared" si="7"/>
        <v>0</v>
      </c>
      <c r="DF77" s="129">
        <f t="shared" si="8"/>
        <v>0</v>
      </c>
      <c r="DG77" s="129">
        <f t="shared" si="9"/>
        <v>0</v>
      </c>
      <c r="DH77" s="129">
        <f t="shared" si="10"/>
        <v>0</v>
      </c>
      <c r="DI77" s="139"/>
    </row>
    <row r="78" ht="22.5" customHeight="1">
      <c r="A78" s="140" t="str">
        <f t="shared" si="1"/>
        <v>|</v>
      </c>
      <c r="B78" s="141"/>
      <c r="C78" s="142"/>
      <c r="D78" s="143"/>
      <c r="E78" s="143"/>
      <c r="F78" s="143"/>
      <c r="G78" s="144"/>
      <c r="H78" s="144"/>
      <c r="I78" s="144"/>
      <c r="J78" s="145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  <c r="AD78" s="144"/>
      <c r="AE78" s="144"/>
      <c r="AF78" s="144"/>
      <c r="AG78" s="144"/>
      <c r="AH78" s="144"/>
      <c r="AI78" s="144"/>
      <c r="AJ78" s="144"/>
      <c r="AK78" s="144"/>
      <c r="AL78" s="144"/>
      <c r="AM78" s="144"/>
      <c r="AN78" s="144"/>
      <c r="AO78" s="144"/>
      <c r="AP78" s="144"/>
      <c r="AQ78" s="144"/>
      <c r="AR78" s="144"/>
      <c r="AS78" s="144"/>
      <c r="AT78" s="144"/>
      <c r="AU78" s="144"/>
      <c r="AV78" s="144"/>
      <c r="AW78" s="144"/>
      <c r="AX78" s="144"/>
      <c r="AY78" s="144"/>
      <c r="AZ78" s="144"/>
      <c r="BA78" s="144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144"/>
      <c r="BN78" s="144"/>
      <c r="BO78" s="144"/>
      <c r="BP78" s="144"/>
      <c r="BQ78" s="144"/>
      <c r="BR78" s="144"/>
      <c r="BS78" s="144"/>
      <c r="BT78" s="144"/>
      <c r="BU78" s="144"/>
      <c r="BV78" s="144"/>
      <c r="BW78" s="144"/>
      <c r="BX78" s="144"/>
      <c r="BY78" s="144"/>
      <c r="BZ78" s="144"/>
      <c r="CA78" s="144"/>
      <c r="CB78" s="144"/>
      <c r="CC78" s="144"/>
      <c r="CD78" s="144"/>
      <c r="CE78" s="144"/>
      <c r="CF78" s="144"/>
      <c r="CG78" s="144"/>
      <c r="CH78" s="144"/>
      <c r="CI78" s="144"/>
      <c r="CJ78" s="144"/>
      <c r="CK78" s="144"/>
      <c r="CL78" s="144"/>
      <c r="CM78" s="144"/>
      <c r="CN78" s="144"/>
      <c r="CO78" s="144"/>
      <c r="CP78" s="144"/>
      <c r="CQ78" s="144"/>
      <c r="CR78" s="144"/>
      <c r="CS78" s="144"/>
      <c r="CT78" s="144"/>
      <c r="CU78" s="144"/>
      <c r="CV78" s="144"/>
      <c r="CW78" s="144"/>
      <c r="CX78" s="145"/>
      <c r="CY78" s="139"/>
      <c r="CZ78" s="127">
        <f t="shared" si="2"/>
        <v>0</v>
      </c>
      <c r="DA78" s="129">
        <f t="shared" si="3"/>
        <v>0</v>
      </c>
      <c r="DB78" s="129">
        <f t="shared" si="4"/>
        <v>0</v>
      </c>
      <c r="DC78" s="129">
        <f t="shared" si="5"/>
        <v>0</v>
      </c>
      <c r="DD78" s="129">
        <f t="shared" si="6"/>
        <v>0</v>
      </c>
      <c r="DE78" s="129">
        <f t="shared" si="7"/>
        <v>0</v>
      </c>
      <c r="DF78" s="129">
        <f t="shared" si="8"/>
        <v>0</v>
      </c>
      <c r="DG78" s="129">
        <f t="shared" si="9"/>
        <v>0</v>
      </c>
      <c r="DH78" s="129">
        <f t="shared" si="10"/>
        <v>0</v>
      </c>
      <c r="DI78" s="139"/>
    </row>
    <row r="79" ht="22.5" customHeight="1">
      <c r="A79" s="140" t="str">
        <f t="shared" si="1"/>
        <v>|</v>
      </c>
      <c r="B79" s="141"/>
      <c r="C79" s="142"/>
      <c r="D79" s="143"/>
      <c r="E79" s="143"/>
      <c r="F79" s="143"/>
      <c r="G79" s="144"/>
      <c r="H79" s="144"/>
      <c r="I79" s="144"/>
      <c r="J79" s="145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  <c r="AD79" s="144"/>
      <c r="AE79" s="144"/>
      <c r="AF79" s="144"/>
      <c r="AG79" s="144"/>
      <c r="AH79" s="144"/>
      <c r="AI79" s="144"/>
      <c r="AJ79" s="144"/>
      <c r="AK79" s="144"/>
      <c r="AL79" s="144"/>
      <c r="AM79" s="144"/>
      <c r="AN79" s="144"/>
      <c r="AO79" s="144"/>
      <c r="AP79" s="144"/>
      <c r="AQ79" s="144"/>
      <c r="AR79" s="144"/>
      <c r="AS79" s="144"/>
      <c r="AT79" s="144"/>
      <c r="AU79" s="144"/>
      <c r="AV79" s="144"/>
      <c r="AW79" s="144"/>
      <c r="AX79" s="144"/>
      <c r="AY79" s="144"/>
      <c r="AZ79" s="144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  <c r="BM79" s="144"/>
      <c r="BN79" s="144"/>
      <c r="BO79" s="144"/>
      <c r="BP79" s="144"/>
      <c r="BQ79" s="144"/>
      <c r="BR79" s="144"/>
      <c r="BS79" s="144"/>
      <c r="BT79" s="144"/>
      <c r="BU79" s="144"/>
      <c r="BV79" s="144"/>
      <c r="BW79" s="144"/>
      <c r="BX79" s="144"/>
      <c r="BY79" s="144"/>
      <c r="BZ79" s="144"/>
      <c r="CA79" s="144"/>
      <c r="CB79" s="144"/>
      <c r="CC79" s="144"/>
      <c r="CD79" s="144"/>
      <c r="CE79" s="144"/>
      <c r="CF79" s="144"/>
      <c r="CG79" s="144"/>
      <c r="CH79" s="144"/>
      <c r="CI79" s="144"/>
      <c r="CJ79" s="144"/>
      <c r="CK79" s="144"/>
      <c r="CL79" s="144"/>
      <c r="CM79" s="144"/>
      <c r="CN79" s="144"/>
      <c r="CO79" s="144"/>
      <c r="CP79" s="144"/>
      <c r="CQ79" s="144"/>
      <c r="CR79" s="144"/>
      <c r="CS79" s="144"/>
      <c r="CT79" s="144"/>
      <c r="CU79" s="144"/>
      <c r="CV79" s="144"/>
      <c r="CW79" s="144"/>
      <c r="CX79" s="145"/>
      <c r="CY79" s="139"/>
      <c r="CZ79" s="127">
        <f t="shared" si="2"/>
        <v>0</v>
      </c>
      <c r="DA79" s="129">
        <f t="shared" si="3"/>
        <v>0</v>
      </c>
      <c r="DB79" s="129">
        <f t="shared" si="4"/>
        <v>0</v>
      </c>
      <c r="DC79" s="129">
        <f t="shared" si="5"/>
        <v>0</v>
      </c>
      <c r="DD79" s="129">
        <f t="shared" si="6"/>
        <v>0</v>
      </c>
      <c r="DE79" s="129">
        <f t="shared" si="7"/>
        <v>0</v>
      </c>
      <c r="DF79" s="129">
        <f t="shared" si="8"/>
        <v>0</v>
      </c>
      <c r="DG79" s="129">
        <f t="shared" si="9"/>
        <v>0</v>
      </c>
      <c r="DH79" s="129">
        <f t="shared" si="10"/>
        <v>0</v>
      </c>
      <c r="DI79" s="139"/>
    </row>
    <row r="80" ht="22.5" customHeight="1">
      <c r="A80" s="140" t="str">
        <f t="shared" si="1"/>
        <v>|</v>
      </c>
      <c r="B80" s="141"/>
      <c r="C80" s="142"/>
      <c r="D80" s="143"/>
      <c r="E80" s="143"/>
      <c r="F80" s="143"/>
      <c r="G80" s="144"/>
      <c r="H80" s="144"/>
      <c r="I80" s="144"/>
      <c r="J80" s="145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  <c r="AD80" s="144"/>
      <c r="AE80" s="144"/>
      <c r="AF80" s="144"/>
      <c r="AG80" s="144"/>
      <c r="AH80" s="144"/>
      <c r="AI80" s="144"/>
      <c r="AJ80" s="144"/>
      <c r="AK80" s="144"/>
      <c r="AL80" s="144"/>
      <c r="AM80" s="144"/>
      <c r="AN80" s="144"/>
      <c r="AO80" s="144"/>
      <c r="AP80" s="144"/>
      <c r="AQ80" s="144"/>
      <c r="AR80" s="144"/>
      <c r="AS80" s="144"/>
      <c r="AT80" s="144"/>
      <c r="AU80" s="144"/>
      <c r="AV80" s="144"/>
      <c r="AW80" s="144"/>
      <c r="AX80" s="144"/>
      <c r="AY80" s="144"/>
      <c r="AZ80" s="144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  <c r="BM80" s="144"/>
      <c r="BN80" s="144"/>
      <c r="BO80" s="144"/>
      <c r="BP80" s="144"/>
      <c r="BQ80" s="144"/>
      <c r="BR80" s="144"/>
      <c r="BS80" s="144"/>
      <c r="BT80" s="144"/>
      <c r="BU80" s="144"/>
      <c r="BV80" s="144"/>
      <c r="BW80" s="144"/>
      <c r="BX80" s="144"/>
      <c r="BY80" s="144"/>
      <c r="BZ80" s="144"/>
      <c r="CA80" s="144"/>
      <c r="CB80" s="144"/>
      <c r="CC80" s="144"/>
      <c r="CD80" s="144"/>
      <c r="CE80" s="144"/>
      <c r="CF80" s="144"/>
      <c r="CG80" s="144"/>
      <c r="CH80" s="144"/>
      <c r="CI80" s="144"/>
      <c r="CJ80" s="144"/>
      <c r="CK80" s="144"/>
      <c r="CL80" s="144"/>
      <c r="CM80" s="144"/>
      <c r="CN80" s="144"/>
      <c r="CO80" s="144"/>
      <c r="CP80" s="144"/>
      <c r="CQ80" s="144"/>
      <c r="CR80" s="144"/>
      <c r="CS80" s="144"/>
      <c r="CT80" s="144"/>
      <c r="CU80" s="144"/>
      <c r="CV80" s="144"/>
      <c r="CW80" s="144"/>
      <c r="CX80" s="145"/>
      <c r="CY80" s="139"/>
      <c r="CZ80" s="127">
        <f t="shared" si="2"/>
        <v>0</v>
      </c>
      <c r="DA80" s="129">
        <f t="shared" si="3"/>
        <v>0</v>
      </c>
      <c r="DB80" s="129">
        <f t="shared" si="4"/>
        <v>0</v>
      </c>
      <c r="DC80" s="129">
        <f t="shared" si="5"/>
        <v>0</v>
      </c>
      <c r="DD80" s="129">
        <f t="shared" si="6"/>
        <v>0</v>
      </c>
      <c r="DE80" s="129">
        <f t="shared" si="7"/>
        <v>0</v>
      </c>
      <c r="DF80" s="129">
        <f t="shared" si="8"/>
        <v>0</v>
      </c>
      <c r="DG80" s="129">
        <f t="shared" si="9"/>
        <v>0</v>
      </c>
      <c r="DH80" s="129">
        <f t="shared" si="10"/>
        <v>0</v>
      </c>
      <c r="DI80" s="139"/>
    </row>
    <row r="81" ht="22.5" customHeight="1">
      <c r="A81" s="140" t="str">
        <f t="shared" si="1"/>
        <v>|</v>
      </c>
      <c r="B81" s="141"/>
      <c r="C81" s="142"/>
      <c r="D81" s="143"/>
      <c r="E81" s="143"/>
      <c r="F81" s="143"/>
      <c r="G81" s="144"/>
      <c r="H81" s="144"/>
      <c r="I81" s="144"/>
      <c r="J81" s="145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  <c r="AD81" s="144"/>
      <c r="AE81" s="144"/>
      <c r="AF81" s="144"/>
      <c r="AG81" s="144"/>
      <c r="AH81" s="144"/>
      <c r="AI81" s="144"/>
      <c r="AJ81" s="144"/>
      <c r="AK81" s="144"/>
      <c r="AL81" s="144"/>
      <c r="AM81" s="144"/>
      <c r="AN81" s="144"/>
      <c r="AO81" s="144"/>
      <c r="AP81" s="144"/>
      <c r="AQ81" s="144"/>
      <c r="AR81" s="144"/>
      <c r="AS81" s="144"/>
      <c r="AT81" s="144"/>
      <c r="AU81" s="144"/>
      <c r="AV81" s="144"/>
      <c r="AW81" s="144"/>
      <c r="AX81" s="144"/>
      <c r="AY81" s="144"/>
      <c r="AZ81" s="144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  <c r="BM81" s="144"/>
      <c r="BN81" s="144"/>
      <c r="BO81" s="144"/>
      <c r="BP81" s="144"/>
      <c r="BQ81" s="144"/>
      <c r="BR81" s="144"/>
      <c r="BS81" s="144"/>
      <c r="BT81" s="144"/>
      <c r="BU81" s="144"/>
      <c r="BV81" s="144"/>
      <c r="BW81" s="144"/>
      <c r="BX81" s="144"/>
      <c r="BY81" s="144"/>
      <c r="BZ81" s="144"/>
      <c r="CA81" s="144"/>
      <c r="CB81" s="144"/>
      <c r="CC81" s="144"/>
      <c r="CD81" s="144"/>
      <c r="CE81" s="144"/>
      <c r="CF81" s="144"/>
      <c r="CG81" s="144"/>
      <c r="CH81" s="144"/>
      <c r="CI81" s="144"/>
      <c r="CJ81" s="144"/>
      <c r="CK81" s="144"/>
      <c r="CL81" s="144"/>
      <c r="CM81" s="144"/>
      <c r="CN81" s="144"/>
      <c r="CO81" s="144"/>
      <c r="CP81" s="144"/>
      <c r="CQ81" s="144"/>
      <c r="CR81" s="144"/>
      <c r="CS81" s="144"/>
      <c r="CT81" s="144"/>
      <c r="CU81" s="144"/>
      <c r="CV81" s="144"/>
      <c r="CW81" s="144"/>
      <c r="CX81" s="145"/>
      <c r="CY81" s="139"/>
      <c r="CZ81" s="127">
        <f t="shared" si="2"/>
        <v>0</v>
      </c>
      <c r="DA81" s="129">
        <f t="shared" si="3"/>
        <v>0</v>
      </c>
      <c r="DB81" s="129">
        <f t="shared" si="4"/>
        <v>0</v>
      </c>
      <c r="DC81" s="129">
        <f t="shared" si="5"/>
        <v>0</v>
      </c>
      <c r="DD81" s="129">
        <f t="shared" si="6"/>
        <v>0</v>
      </c>
      <c r="DE81" s="129">
        <f t="shared" si="7"/>
        <v>0</v>
      </c>
      <c r="DF81" s="129">
        <f t="shared" si="8"/>
        <v>0</v>
      </c>
      <c r="DG81" s="129">
        <f t="shared" si="9"/>
        <v>0</v>
      </c>
      <c r="DH81" s="129">
        <f t="shared" si="10"/>
        <v>0</v>
      </c>
      <c r="DI81" s="139"/>
    </row>
    <row r="82" ht="22.5" customHeight="1">
      <c r="A82" s="140" t="str">
        <f t="shared" si="1"/>
        <v>|</v>
      </c>
      <c r="B82" s="141"/>
      <c r="C82" s="142"/>
      <c r="D82" s="143"/>
      <c r="E82" s="143"/>
      <c r="F82" s="143"/>
      <c r="G82" s="144"/>
      <c r="H82" s="144"/>
      <c r="I82" s="144"/>
      <c r="J82" s="145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  <c r="AD82" s="144"/>
      <c r="AE82" s="144"/>
      <c r="AF82" s="144"/>
      <c r="AG82" s="144"/>
      <c r="AH82" s="144"/>
      <c r="AI82" s="144"/>
      <c r="AJ82" s="144"/>
      <c r="AK82" s="144"/>
      <c r="AL82" s="144"/>
      <c r="AM82" s="144"/>
      <c r="AN82" s="144"/>
      <c r="AO82" s="144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  <c r="BM82" s="144"/>
      <c r="BN82" s="144"/>
      <c r="BO82" s="144"/>
      <c r="BP82" s="144"/>
      <c r="BQ82" s="144"/>
      <c r="BR82" s="144"/>
      <c r="BS82" s="144"/>
      <c r="BT82" s="144"/>
      <c r="BU82" s="144"/>
      <c r="BV82" s="144"/>
      <c r="BW82" s="144"/>
      <c r="BX82" s="144"/>
      <c r="BY82" s="144"/>
      <c r="BZ82" s="144"/>
      <c r="CA82" s="144"/>
      <c r="CB82" s="144"/>
      <c r="CC82" s="144"/>
      <c r="CD82" s="144"/>
      <c r="CE82" s="144"/>
      <c r="CF82" s="144"/>
      <c r="CG82" s="144"/>
      <c r="CH82" s="144"/>
      <c r="CI82" s="144"/>
      <c r="CJ82" s="144"/>
      <c r="CK82" s="144"/>
      <c r="CL82" s="144"/>
      <c r="CM82" s="144"/>
      <c r="CN82" s="144"/>
      <c r="CO82" s="144"/>
      <c r="CP82" s="144"/>
      <c r="CQ82" s="144"/>
      <c r="CR82" s="144"/>
      <c r="CS82" s="144"/>
      <c r="CT82" s="144"/>
      <c r="CU82" s="144"/>
      <c r="CV82" s="144"/>
      <c r="CW82" s="144"/>
      <c r="CX82" s="145"/>
      <c r="CY82" s="139"/>
      <c r="CZ82" s="127">
        <f t="shared" si="2"/>
        <v>0</v>
      </c>
      <c r="DA82" s="129">
        <f t="shared" si="3"/>
        <v>0</v>
      </c>
      <c r="DB82" s="129">
        <f t="shared" si="4"/>
        <v>0</v>
      </c>
      <c r="DC82" s="129">
        <f t="shared" si="5"/>
        <v>0</v>
      </c>
      <c r="DD82" s="129">
        <f t="shared" si="6"/>
        <v>0</v>
      </c>
      <c r="DE82" s="129">
        <f t="shared" si="7"/>
        <v>0</v>
      </c>
      <c r="DF82" s="129">
        <f t="shared" si="8"/>
        <v>0</v>
      </c>
      <c r="DG82" s="129">
        <f t="shared" si="9"/>
        <v>0</v>
      </c>
      <c r="DH82" s="129">
        <f t="shared" si="10"/>
        <v>0</v>
      </c>
      <c r="DI82" s="139"/>
    </row>
    <row r="83" ht="22.5" customHeight="1">
      <c r="A83" s="140" t="str">
        <f t="shared" si="1"/>
        <v>|</v>
      </c>
      <c r="B83" s="141"/>
      <c r="C83" s="142"/>
      <c r="D83" s="143"/>
      <c r="E83" s="143"/>
      <c r="F83" s="143"/>
      <c r="G83" s="144"/>
      <c r="H83" s="144"/>
      <c r="I83" s="144"/>
      <c r="J83" s="145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  <c r="AD83" s="144"/>
      <c r="AE83" s="144"/>
      <c r="AF83" s="144"/>
      <c r="AG83" s="144"/>
      <c r="AH83" s="144"/>
      <c r="AI83" s="144"/>
      <c r="AJ83" s="144"/>
      <c r="AK83" s="144"/>
      <c r="AL83" s="144"/>
      <c r="AM83" s="144"/>
      <c r="AN83" s="144"/>
      <c r="AO83" s="144"/>
      <c r="AP83" s="144"/>
      <c r="AQ83" s="144"/>
      <c r="AR83" s="144"/>
      <c r="AS83" s="144"/>
      <c r="AT83" s="144"/>
      <c r="AU83" s="144"/>
      <c r="AV83" s="144"/>
      <c r="AW83" s="144"/>
      <c r="AX83" s="144"/>
      <c r="AY83" s="144"/>
      <c r="AZ83" s="144"/>
      <c r="BA83" s="144"/>
      <c r="BB83" s="144"/>
      <c r="BC83" s="144"/>
      <c r="BD83" s="144"/>
      <c r="BE83" s="144"/>
      <c r="BF83" s="144"/>
      <c r="BG83" s="144"/>
      <c r="BH83" s="144"/>
      <c r="BI83" s="144"/>
      <c r="BJ83" s="144"/>
      <c r="BK83" s="144"/>
      <c r="BL83" s="144"/>
      <c r="BM83" s="144"/>
      <c r="BN83" s="144"/>
      <c r="BO83" s="144"/>
      <c r="BP83" s="144"/>
      <c r="BQ83" s="144"/>
      <c r="BR83" s="144"/>
      <c r="BS83" s="144"/>
      <c r="BT83" s="144"/>
      <c r="BU83" s="144"/>
      <c r="BV83" s="144"/>
      <c r="BW83" s="144"/>
      <c r="BX83" s="144"/>
      <c r="BY83" s="144"/>
      <c r="BZ83" s="144"/>
      <c r="CA83" s="144"/>
      <c r="CB83" s="144"/>
      <c r="CC83" s="144"/>
      <c r="CD83" s="144"/>
      <c r="CE83" s="144"/>
      <c r="CF83" s="144"/>
      <c r="CG83" s="144"/>
      <c r="CH83" s="144"/>
      <c r="CI83" s="144"/>
      <c r="CJ83" s="144"/>
      <c r="CK83" s="144"/>
      <c r="CL83" s="144"/>
      <c r="CM83" s="144"/>
      <c r="CN83" s="144"/>
      <c r="CO83" s="144"/>
      <c r="CP83" s="144"/>
      <c r="CQ83" s="144"/>
      <c r="CR83" s="144"/>
      <c r="CS83" s="144"/>
      <c r="CT83" s="144"/>
      <c r="CU83" s="144"/>
      <c r="CV83" s="144"/>
      <c r="CW83" s="144"/>
      <c r="CX83" s="145"/>
      <c r="CY83" s="139"/>
      <c r="CZ83" s="127">
        <f t="shared" si="2"/>
        <v>0</v>
      </c>
      <c r="DA83" s="129">
        <f t="shared" si="3"/>
        <v>0</v>
      </c>
      <c r="DB83" s="129">
        <f t="shared" si="4"/>
        <v>0</v>
      </c>
      <c r="DC83" s="129">
        <f t="shared" si="5"/>
        <v>0</v>
      </c>
      <c r="DD83" s="129">
        <f t="shared" si="6"/>
        <v>0</v>
      </c>
      <c r="DE83" s="129">
        <f t="shared" si="7"/>
        <v>0</v>
      </c>
      <c r="DF83" s="129">
        <f t="shared" si="8"/>
        <v>0</v>
      </c>
      <c r="DG83" s="129">
        <f t="shared" si="9"/>
        <v>0</v>
      </c>
      <c r="DH83" s="129">
        <f t="shared" si="10"/>
        <v>0</v>
      </c>
      <c r="DI83" s="139"/>
    </row>
    <row r="84" ht="22.5" customHeight="1">
      <c r="A84" s="140" t="str">
        <f t="shared" si="1"/>
        <v>|</v>
      </c>
      <c r="B84" s="141"/>
      <c r="C84" s="142"/>
      <c r="D84" s="143"/>
      <c r="E84" s="143"/>
      <c r="F84" s="143"/>
      <c r="G84" s="144"/>
      <c r="H84" s="144"/>
      <c r="I84" s="144"/>
      <c r="J84" s="145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  <c r="AD84" s="144"/>
      <c r="AE84" s="144"/>
      <c r="AF84" s="144"/>
      <c r="AG84" s="144"/>
      <c r="AH84" s="144"/>
      <c r="AI84" s="144"/>
      <c r="AJ84" s="144"/>
      <c r="AK84" s="144"/>
      <c r="AL84" s="144"/>
      <c r="AM84" s="144"/>
      <c r="AN84" s="144"/>
      <c r="AO84" s="144"/>
      <c r="AP84" s="144"/>
      <c r="AQ84" s="144"/>
      <c r="AR84" s="144"/>
      <c r="AS84" s="144"/>
      <c r="AT84" s="144"/>
      <c r="AU84" s="144"/>
      <c r="AV84" s="144"/>
      <c r="AW84" s="144"/>
      <c r="AX84" s="144"/>
      <c r="AY84" s="144"/>
      <c r="AZ84" s="144"/>
      <c r="BA84" s="144"/>
      <c r="BB84" s="144"/>
      <c r="BC84" s="144"/>
      <c r="BD84" s="144"/>
      <c r="BE84" s="144"/>
      <c r="BF84" s="144"/>
      <c r="BG84" s="144"/>
      <c r="BH84" s="144"/>
      <c r="BI84" s="144"/>
      <c r="BJ84" s="144"/>
      <c r="BK84" s="144"/>
      <c r="BL84" s="144"/>
      <c r="BM84" s="144"/>
      <c r="BN84" s="144"/>
      <c r="BO84" s="144"/>
      <c r="BP84" s="144"/>
      <c r="BQ84" s="144"/>
      <c r="BR84" s="144"/>
      <c r="BS84" s="144"/>
      <c r="BT84" s="144"/>
      <c r="BU84" s="144"/>
      <c r="BV84" s="144"/>
      <c r="BW84" s="144"/>
      <c r="BX84" s="144"/>
      <c r="BY84" s="144"/>
      <c r="BZ84" s="144"/>
      <c r="CA84" s="144"/>
      <c r="CB84" s="144"/>
      <c r="CC84" s="144"/>
      <c r="CD84" s="144"/>
      <c r="CE84" s="144"/>
      <c r="CF84" s="144"/>
      <c r="CG84" s="144"/>
      <c r="CH84" s="144"/>
      <c r="CI84" s="144"/>
      <c r="CJ84" s="144"/>
      <c r="CK84" s="144"/>
      <c r="CL84" s="144"/>
      <c r="CM84" s="144"/>
      <c r="CN84" s="144"/>
      <c r="CO84" s="144"/>
      <c r="CP84" s="144"/>
      <c r="CQ84" s="144"/>
      <c r="CR84" s="144"/>
      <c r="CS84" s="144"/>
      <c r="CT84" s="144"/>
      <c r="CU84" s="144"/>
      <c r="CV84" s="144"/>
      <c r="CW84" s="144"/>
      <c r="CX84" s="145"/>
      <c r="CY84" s="139"/>
      <c r="CZ84" s="127">
        <f t="shared" si="2"/>
        <v>0</v>
      </c>
      <c r="DA84" s="129">
        <f t="shared" si="3"/>
        <v>0</v>
      </c>
      <c r="DB84" s="129">
        <f t="shared" si="4"/>
        <v>0</v>
      </c>
      <c r="DC84" s="129">
        <f t="shared" si="5"/>
        <v>0</v>
      </c>
      <c r="DD84" s="129">
        <f t="shared" si="6"/>
        <v>0</v>
      </c>
      <c r="DE84" s="129">
        <f t="shared" si="7"/>
        <v>0</v>
      </c>
      <c r="DF84" s="129">
        <f t="shared" si="8"/>
        <v>0</v>
      </c>
      <c r="DG84" s="129">
        <f t="shared" si="9"/>
        <v>0</v>
      </c>
      <c r="DH84" s="129">
        <f t="shared" si="10"/>
        <v>0</v>
      </c>
      <c r="DI84" s="139"/>
    </row>
    <row r="85" ht="22.5" customHeight="1">
      <c r="A85" s="140" t="str">
        <f t="shared" si="1"/>
        <v>|</v>
      </c>
      <c r="B85" s="141"/>
      <c r="C85" s="142"/>
      <c r="D85" s="143"/>
      <c r="E85" s="143"/>
      <c r="F85" s="143"/>
      <c r="G85" s="144"/>
      <c r="H85" s="144"/>
      <c r="I85" s="144"/>
      <c r="J85" s="145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  <c r="AD85" s="144"/>
      <c r="AE85" s="144"/>
      <c r="AF85" s="144"/>
      <c r="AG85" s="144"/>
      <c r="AH85" s="144"/>
      <c r="AI85" s="144"/>
      <c r="AJ85" s="144"/>
      <c r="AK85" s="144"/>
      <c r="AL85" s="144"/>
      <c r="AM85" s="144"/>
      <c r="AN85" s="144"/>
      <c r="AO85" s="144"/>
      <c r="AP85" s="144"/>
      <c r="AQ85" s="144"/>
      <c r="AR85" s="144"/>
      <c r="AS85" s="144"/>
      <c r="AT85" s="144"/>
      <c r="AU85" s="144"/>
      <c r="AV85" s="144"/>
      <c r="AW85" s="144"/>
      <c r="AX85" s="144"/>
      <c r="AY85" s="144"/>
      <c r="AZ85" s="144"/>
      <c r="BA85" s="144"/>
      <c r="BB85" s="144"/>
      <c r="BC85" s="144"/>
      <c r="BD85" s="144"/>
      <c r="BE85" s="144"/>
      <c r="BF85" s="144"/>
      <c r="BG85" s="144"/>
      <c r="BH85" s="144"/>
      <c r="BI85" s="144"/>
      <c r="BJ85" s="144"/>
      <c r="BK85" s="144"/>
      <c r="BL85" s="144"/>
      <c r="BM85" s="144"/>
      <c r="BN85" s="144"/>
      <c r="BO85" s="144"/>
      <c r="BP85" s="144"/>
      <c r="BQ85" s="144"/>
      <c r="BR85" s="144"/>
      <c r="BS85" s="144"/>
      <c r="BT85" s="144"/>
      <c r="BU85" s="144"/>
      <c r="BV85" s="144"/>
      <c r="BW85" s="144"/>
      <c r="BX85" s="144"/>
      <c r="BY85" s="144"/>
      <c r="BZ85" s="144"/>
      <c r="CA85" s="144"/>
      <c r="CB85" s="144"/>
      <c r="CC85" s="144"/>
      <c r="CD85" s="144"/>
      <c r="CE85" s="144"/>
      <c r="CF85" s="144"/>
      <c r="CG85" s="144"/>
      <c r="CH85" s="144"/>
      <c r="CI85" s="144"/>
      <c r="CJ85" s="144"/>
      <c r="CK85" s="144"/>
      <c r="CL85" s="144"/>
      <c r="CM85" s="144"/>
      <c r="CN85" s="144"/>
      <c r="CO85" s="144"/>
      <c r="CP85" s="144"/>
      <c r="CQ85" s="144"/>
      <c r="CR85" s="144"/>
      <c r="CS85" s="144"/>
      <c r="CT85" s="144"/>
      <c r="CU85" s="144"/>
      <c r="CV85" s="144"/>
      <c r="CW85" s="144"/>
      <c r="CX85" s="145"/>
      <c r="CY85" s="139"/>
      <c r="CZ85" s="127">
        <f t="shared" si="2"/>
        <v>0</v>
      </c>
      <c r="DA85" s="129">
        <f t="shared" si="3"/>
        <v>0</v>
      </c>
      <c r="DB85" s="129">
        <f t="shared" si="4"/>
        <v>0</v>
      </c>
      <c r="DC85" s="129">
        <f t="shared" si="5"/>
        <v>0</v>
      </c>
      <c r="DD85" s="129">
        <f t="shared" si="6"/>
        <v>0</v>
      </c>
      <c r="DE85" s="129">
        <f t="shared" si="7"/>
        <v>0</v>
      </c>
      <c r="DF85" s="129">
        <f t="shared" si="8"/>
        <v>0</v>
      </c>
      <c r="DG85" s="129">
        <f t="shared" si="9"/>
        <v>0</v>
      </c>
      <c r="DH85" s="129">
        <f t="shared" si="10"/>
        <v>0</v>
      </c>
      <c r="DI85" s="139"/>
    </row>
    <row r="86" ht="22.5" customHeight="1">
      <c r="A86" s="140" t="str">
        <f t="shared" si="1"/>
        <v>|</v>
      </c>
      <c r="B86" s="141"/>
      <c r="C86" s="142"/>
      <c r="D86" s="143"/>
      <c r="E86" s="143"/>
      <c r="F86" s="143"/>
      <c r="G86" s="144"/>
      <c r="H86" s="144"/>
      <c r="I86" s="144"/>
      <c r="J86" s="145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  <c r="AD86" s="144"/>
      <c r="AE86" s="144"/>
      <c r="AF86" s="144"/>
      <c r="AG86" s="144"/>
      <c r="AH86" s="144"/>
      <c r="AI86" s="144"/>
      <c r="AJ86" s="144"/>
      <c r="AK86" s="144"/>
      <c r="AL86" s="144"/>
      <c r="AM86" s="144"/>
      <c r="AN86" s="144"/>
      <c r="AO86" s="144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44"/>
      <c r="BC86" s="144"/>
      <c r="BD86" s="144"/>
      <c r="BE86" s="144"/>
      <c r="BF86" s="144"/>
      <c r="BG86" s="144"/>
      <c r="BH86" s="144"/>
      <c r="BI86" s="144"/>
      <c r="BJ86" s="144"/>
      <c r="BK86" s="144"/>
      <c r="BL86" s="144"/>
      <c r="BM86" s="144"/>
      <c r="BN86" s="144"/>
      <c r="BO86" s="144"/>
      <c r="BP86" s="144"/>
      <c r="BQ86" s="144"/>
      <c r="BR86" s="144"/>
      <c r="BS86" s="144"/>
      <c r="BT86" s="144"/>
      <c r="BU86" s="144"/>
      <c r="BV86" s="144"/>
      <c r="BW86" s="144"/>
      <c r="BX86" s="144"/>
      <c r="BY86" s="144"/>
      <c r="BZ86" s="144"/>
      <c r="CA86" s="144"/>
      <c r="CB86" s="144"/>
      <c r="CC86" s="144"/>
      <c r="CD86" s="144"/>
      <c r="CE86" s="144"/>
      <c r="CF86" s="144"/>
      <c r="CG86" s="144"/>
      <c r="CH86" s="144"/>
      <c r="CI86" s="144"/>
      <c r="CJ86" s="144"/>
      <c r="CK86" s="144"/>
      <c r="CL86" s="144"/>
      <c r="CM86" s="144"/>
      <c r="CN86" s="144"/>
      <c r="CO86" s="144"/>
      <c r="CP86" s="144"/>
      <c r="CQ86" s="144"/>
      <c r="CR86" s="144"/>
      <c r="CS86" s="144"/>
      <c r="CT86" s="144"/>
      <c r="CU86" s="144"/>
      <c r="CV86" s="144"/>
      <c r="CW86" s="144"/>
      <c r="CX86" s="145"/>
      <c r="CY86" s="139"/>
      <c r="CZ86" s="127">
        <f t="shared" si="2"/>
        <v>0</v>
      </c>
      <c r="DA86" s="129">
        <f t="shared" si="3"/>
        <v>0</v>
      </c>
      <c r="DB86" s="129">
        <f t="shared" si="4"/>
        <v>0</v>
      </c>
      <c r="DC86" s="129">
        <f t="shared" si="5"/>
        <v>0</v>
      </c>
      <c r="DD86" s="129">
        <f t="shared" si="6"/>
        <v>0</v>
      </c>
      <c r="DE86" s="129">
        <f t="shared" si="7"/>
        <v>0</v>
      </c>
      <c r="DF86" s="129">
        <f t="shared" si="8"/>
        <v>0</v>
      </c>
      <c r="DG86" s="129">
        <f t="shared" si="9"/>
        <v>0</v>
      </c>
      <c r="DH86" s="129">
        <f t="shared" si="10"/>
        <v>0</v>
      </c>
      <c r="DI86" s="139"/>
    </row>
    <row r="87" ht="22.5" customHeight="1">
      <c r="A87" s="140" t="str">
        <f t="shared" si="1"/>
        <v>|</v>
      </c>
      <c r="B87" s="141"/>
      <c r="C87" s="142"/>
      <c r="D87" s="143"/>
      <c r="E87" s="143"/>
      <c r="F87" s="143"/>
      <c r="G87" s="144"/>
      <c r="H87" s="144"/>
      <c r="I87" s="144"/>
      <c r="J87" s="145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144"/>
      <c r="AI87" s="144"/>
      <c r="AJ87" s="144"/>
      <c r="AK87" s="144"/>
      <c r="AL87" s="144"/>
      <c r="AM87" s="144"/>
      <c r="AN87" s="144"/>
      <c r="AO87" s="144"/>
      <c r="AP87" s="144"/>
      <c r="AQ87" s="144"/>
      <c r="AR87" s="144"/>
      <c r="AS87" s="144"/>
      <c r="AT87" s="144"/>
      <c r="AU87" s="144"/>
      <c r="AV87" s="144"/>
      <c r="AW87" s="144"/>
      <c r="AX87" s="144"/>
      <c r="AY87" s="144"/>
      <c r="AZ87" s="144"/>
      <c r="BA87" s="144"/>
      <c r="BB87" s="144"/>
      <c r="BC87" s="144"/>
      <c r="BD87" s="144"/>
      <c r="BE87" s="144"/>
      <c r="BF87" s="144"/>
      <c r="BG87" s="144"/>
      <c r="BH87" s="144"/>
      <c r="BI87" s="144"/>
      <c r="BJ87" s="144"/>
      <c r="BK87" s="144"/>
      <c r="BL87" s="144"/>
      <c r="BM87" s="144"/>
      <c r="BN87" s="144"/>
      <c r="BO87" s="144"/>
      <c r="BP87" s="144"/>
      <c r="BQ87" s="144"/>
      <c r="BR87" s="144"/>
      <c r="BS87" s="144"/>
      <c r="BT87" s="144"/>
      <c r="BU87" s="144"/>
      <c r="BV87" s="144"/>
      <c r="BW87" s="144"/>
      <c r="BX87" s="144"/>
      <c r="BY87" s="144"/>
      <c r="BZ87" s="144"/>
      <c r="CA87" s="144"/>
      <c r="CB87" s="144"/>
      <c r="CC87" s="144"/>
      <c r="CD87" s="144"/>
      <c r="CE87" s="144"/>
      <c r="CF87" s="144"/>
      <c r="CG87" s="144"/>
      <c r="CH87" s="144"/>
      <c r="CI87" s="144"/>
      <c r="CJ87" s="144"/>
      <c r="CK87" s="144"/>
      <c r="CL87" s="144"/>
      <c r="CM87" s="144"/>
      <c r="CN87" s="144"/>
      <c r="CO87" s="144"/>
      <c r="CP87" s="144"/>
      <c r="CQ87" s="144"/>
      <c r="CR87" s="144"/>
      <c r="CS87" s="144"/>
      <c r="CT87" s="144"/>
      <c r="CU87" s="144"/>
      <c r="CV87" s="144"/>
      <c r="CW87" s="144"/>
      <c r="CX87" s="145"/>
      <c r="CY87" s="139"/>
      <c r="CZ87" s="127">
        <f t="shared" si="2"/>
        <v>0</v>
      </c>
      <c r="DA87" s="129">
        <f t="shared" si="3"/>
        <v>0</v>
      </c>
      <c r="DB87" s="129">
        <f t="shared" si="4"/>
        <v>0</v>
      </c>
      <c r="DC87" s="129">
        <f t="shared" si="5"/>
        <v>0</v>
      </c>
      <c r="DD87" s="129">
        <f t="shared" si="6"/>
        <v>0</v>
      </c>
      <c r="DE87" s="129">
        <f t="shared" si="7"/>
        <v>0</v>
      </c>
      <c r="DF87" s="129">
        <f t="shared" si="8"/>
        <v>0</v>
      </c>
      <c r="DG87" s="129">
        <f t="shared" si="9"/>
        <v>0</v>
      </c>
      <c r="DH87" s="129">
        <f t="shared" si="10"/>
        <v>0</v>
      </c>
      <c r="DI87" s="139"/>
    </row>
    <row r="88" ht="22.5" customHeight="1">
      <c r="A88" s="140" t="str">
        <f t="shared" si="1"/>
        <v>|</v>
      </c>
      <c r="B88" s="141"/>
      <c r="C88" s="142"/>
      <c r="D88" s="143"/>
      <c r="E88" s="143"/>
      <c r="F88" s="143"/>
      <c r="G88" s="144"/>
      <c r="H88" s="144"/>
      <c r="I88" s="144"/>
      <c r="J88" s="145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  <c r="AD88" s="144"/>
      <c r="AE88" s="144"/>
      <c r="AF88" s="144"/>
      <c r="AG88" s="144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4"/>
      <c r="BG88" s="144"/>
      <c r="BH88" s="144"/>
      <c r="BI88" s="144"/>
      <c r="BJ88" s="144"/>
      <c r="BK88" s="144"/>
      <c r="BL88" s="144"/>
      <c r="BM88" s="144"/>
      <c r="BN88" s="144"/>
      <c r="BO88" s="144"/>
      <c r="BP88" s="144"/>
      <c r="BQ88" s="144"/>
      <c r="BR88" s="144"/>
      <c r="BS88" s="144"/>
      <c r="BT88" s="144"/>
      <c r="BU88" s="144"/>
      <c r="BV88" s="144"/>
      <c r="BW88" s="144"/>
      <c r="BX88" s="144"/>
      <c r="BY88" s="144"/>
      <c r="BZ88" s="144"/>
      <c r="CA88" s="144"/>
      <c r="CB88" s="144"/>
      <c r="CC88" s="144"/>
      <c r="CD88" s="144"/>
      <c r="CE88" s="144"/>
      <c r="CF88" s="144"/>
      <c r="CG88" s="144"/>
      <c r="CH88" s="144"/>
      <c r="CI88" s="144"/>
      <c r="CJ88" s="144"/>
      <c r="CK88" s="144"/>
      <c r="CL88" s="144"/>
      <c r="CM88" s="144"/>
      <c r="CN88" s="144"/>
      <c r="CO88" s="144"/>
      <c r="CP88" s="144"/>
      <c r="CQ88" s="144"/>
      <c r="CR88" s="144"/>
      <c r="CS88" s="144"/>
      <c r="CT88" s="144"/>
      <c r="CU88" s="144"/>
      <c r="CV88" s="144"/>
      <c r="CW88" s="144"/>
      <c r="CX88" s="145"/>
      <c r="CY88" s="139"/>
      <c r="CZ88" s="127">
        <f t="shared" si="2"/>
        <v>0</v>
      </c>
      <c r="DA88" s="129">
        <f t="shared" si="3"/>
        <v>0</v>
      </c>
      <c r="DB88" s="129">
        <f t="shared" si="4"/>
        <v>0</v>
      </c>
      <c r="DC88" s="129">
        <f t="shared" si="5"/>
        <v>0</v>
      </c>
      <c r="DD88" s="129">
        <f t="shared" si="6"/>
        <v>0</v>
      </c>
      <c r="DE88" s="129">
        <f t="shared" si="7"/>
        <v>0</v>
      </c>
      <c r="DF88" s="129">
        <f t="shared" si="8"/>
        <v>0</v>
      </c>
      <c r="DG88" s="129">
        <f t="shared" si="9"/>
        <v>0</v>
      </c>
      <c r="DH88" s="129">
        <f t="shared" si="10"/>
        <v>0</v>
      </c>
      <c r="DI88" s="139"/>
    </row>
    <row r="89" ht="22.5" customHeight="1">
      <c r="A89" s="140" t="str">
        <f t="shared" si="1"/>
        <v>|</v>
      </c>
      <c r="B89" s="141"/>
      <c r="C89" s="142"/>
      <c r="D89" s="143"/>
      <c r="E89" s="143"/>
      <c r="F89" s="143"/>
      <c r="G89" s="144"/>
      <c r="H89" s="144"/>
      <c r="I89" s="144"/>
      <c r="J89" s="145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144"/>
      <c r="AJ89" s="144"/>
      <c r="AK89" s="144"/>
      <c r="AL89" s="144"/>
      <c r="AM89" s="144"/>
      <c r="AN89" s="144"/>
      <c r="AO89" s="144"/>
      <c r="AP89" s="144"/>
      <c r="AQ89" s="144"/>
      <c r="AR89" s="144"/>
      <c r="AS89" s="144"/>
      <c r="AT89" s="144"/>
      <c r="AU89" s="144"/>
      <c r="AV89" s="144"/>
      <c r="AW89" s="144"/>
      <c r="AX89" s="144"/>
      <c r="AY89" s="144"/>
      <c r="AZ89" s="144"/>
      <c r="BA89" s="144"/>
      <c r="BB89" s="144"/>
      <c r="BC89" s="144"/>
      <c r="BD89" s="144"/>
      <c r="BE89" s="144"/>
      <c r="BF89" s="144"/>
      <c r="BG89" s="144"/>
      <c r="BH89" s="144"/>
      <c r="BI89" s="144"/>
      <c r="BJ89" s="144"/>
      <c r="BK89" s="144"/>
      <c r="BL89" s="144"/>
      <c r="BM89" s="144"/>
      <c r="BN89" s="144"/>
      <c r="BO89" s="144"/>
      <c r="BP89" s="144"/>
      <c r="BQ89" s="144"/>
      <c r="BR89" s="144"/>
      <c r="BS89" s="144"/>
      <c r="BT89" s="144"/>
      <c r="BU89" s="144"/>
      <c r="BV89" s="144"/>
      <c r="BW89" s="144"/>
      <c r="BX89" s="144"/>
      <c r="BY89" s="144"/>
      <c r="BZ89" s="144"/>
      <c r="CA89" s="144"/>
      <c r="CB89" s="144"/>
      <c r="CC89" s="144"/>
      <c r="CD89" s="144"/>
      <c r="CE89" s="144"/>
      <c r="CF89" s="144"/>
      <c r="CG89" s="144"/>
      <c r="CH89" s="144"/>
      <c r="CI89" s="144"/>
      <c r="CJ89" s="144"/>
      <c r="CK89" s="144"/>
      <c r="CL89" s="144"/>
      <c r="CM89" s="144"/>
      <c r="CN89" s="144"/>
      <c r="CO89" s="144"/>
      <c r="CP89" s="144"/>
      <c r="CQ89" s="144"/>
      <c r="CR89" s="144"/>
      <c r="CS89" s="144"/>
      <c r="CT89" s="144"/>
      <c r="CU89" s="144"/>
      <c r="CV89" s="144"/>
      <c r="CW89" s="144"/>
      <c r="CX89" s="145"/>
      <c r="CY89" s="139"/>
      <c r="CZ89" s="127">
        <f t="shared" si="2"/>
        <v>0</v>
      </c>
      <c r="DA89" s="129">
        <f t="shared" si="3"/>
        <v>0</v>
      </c>
      <c r="DB89" s="129">
        <f t="shared" si="4"/>
        <v>0</v>
      </c>
      <c r="DC89" s="129">
        <f t="shared" si="5"/>
        <v>0</v>
      </c>
      <c r="DD89" s="129">
        <f t="shared" si="6"/>
        <v>0</v>
      </c>
      <c r="DE89" s="129">
        <f t="shared" si="7"/>
        <v>0</v>
      </c>
      <c r="DF89" s="129">
        <f t="shared" si="8"/>
        <v>0</v>
      </c>
      <c r="DG89" s="129">
        <f t="shared" si="9"/>
        <v>0</v>
      </c>
      <c r="DH89" s="129">
        <f t="shared" si="10"/>
        <v>0</v>
      </c>
      <c r="DI89" s="139"/>
    </row>
    <row r="90" ht="22.5" customHeight="1">
      <c r="A90" s="140" t="str">
        <f t="shared" si="1"/>
        <v>|</v>
      </c>
      <c r="B90" s="141"/>
      <c r="C90" s="142"/>
      <c r="D90" s="143"/>
      <c r="E90" s="143"/>
      <c r="F90" s="143"/>
      <c r="G90" s="144"/>
      <c r="H90" s="144"/>
      <c r="I90" s="144"/>
      <c r="J90" s="145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  <c r="AD90" s="144"/>
      <c r="AE90" s="144"/>
      <c r="AF90" s="144"/>
      <c r="AG90" s="144"/>
      <c r="AH90" s="144"/>
      <c r="AI90" s="144"/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4"/>
      <c r="AU90" s="144"/>
      <c r="AV90" s="144"/>
      <c r="AW90" s="144"/>
      <c r="AX90" s="144"/>
      <c r="AY90" s="144"/>
      <c r="AZ90" s="144"/>
      <c r="BA90" s="144"/>
      <c r="BB90" s="144"/>
      <c r="BC90" s="144"/>
      <c r="BD90" s="144"/>
      <c r="BE90" s="144"/>
      <c r="BF90" s="144"/>
      <c r="BG90" s="144"/>
      <c r="BH90" s="144"/>
      <c r="BI90" s="144"/>
      <c r="BJ90" s="144"/>
      <c r="BK90" s="144"/>
      <c r="BL90" s="144"/>
      <c r="BM90" s="144"/>
      <c r="BN90" s="144"/>
      <c r="BO90" s="144"/>
      <c r="BP90" s="144"/>
      <c r="BQ90" s="144"/>
      <c r="BR90" s="144"/>
      <c r="BS90" s="144"/>
      <c r="BT90" s="144"/>
      <c r="BU90" s="144"/>
      <c r="BV90" s="144"/>
      <c r="BW90" s="144"/>
      <c r="BX90" s="144"/>
      <c r="BY90" s="144"/>
      <c r="BZ90" s="144"/>
      <c r="CA90" s="144"/>
      <c r="CB90" s="144"/>
      <c r="CC90" s="144"/>
      <c r="CD90" s="144"/>
      <c r="CE90" s="144"/>
      <c r="CF90" s="144"/>
      <c r="CG90" s="144"/>
      <c r="CH90" s="144"/>
      <c r="CI90" s="144"/>
      <c r="CJ90" s="144"/>
      <c r="CK90" s="144"/>
      <c r="CL90" s="144"/>
      <c r="CM90" s="144"/>
      <c r="CN90" s="144"/>
      <c r="CO90" s="144"/>
      <c r="CP90" s="144"/>
      <c r="CQ90" s="144"/>
      <c r="CR90" s="144"/>
      <c r="CS90" s="144"/>
      <c r="CT90" s="144"/>
      <c r="CU90" s="144"/>
      <c r="CV90" s="144"/>
      <c r="CW90" s="144"/>
      <c r="CX90" s="145"/>
      <c r="CY90" s="139"/>
      <c r="CZ90" s="127">
        <f t="shared" si="2"/>
        <v>0</v>
      </c>
      <c r="DA90" s="129">
        <f t="shared" si="3"/>
        <v>0</v>
      </c>
      <c r="DB90" s="129">
        <f t="shared" si="4"/>
        <v>0</v>
      </c>
      <c r="DC90" s="129">
        <f t="shared" si="5"/>
        <v>0</v>
      </c>
      <c r="DD90" s="129">
        <f t="shared" si="6"/>
        <v>0</v>
      </c>
      <c r="DE90" s="129">
        <f t="shared" si="7"/>
        <v>0</v>
      </c>
      <c r="DF90" s="129">
        <f t="shared" si="8"/>
        <v>0</v>
      </c>
      <c r="DG90" s="129">
        <f t="shared" si="9"/>
        <v>0</v>
      </c>
      <c r="DH90" s="129">
        <f t="shared" si="10"/>
        <v>0</v>
      </c>
      <c r="DI90" s="139"/>
    </row>
    <row r="91" ht="22.5" customHeight="1">
      <c r="A91" s="140" t="str">
        <f t="shared" si="1"/>
        <v>|</v>
      </c>
      <c r="B91" s="141"/>
      <c r="C91" s="142"/>
      <c r="D91" s="143"/>
      <c r="E91" s="143"/>
      <c r="F91" s="143"/>
      <c r="G91" s="144"/>
      <c r="H91" s="144"/>
      <c r="I91" s="144"/>
      <c r="J91" s="145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  <c r="AD91" s="144"/>
      <c r="AE91" s="144"/>
      <c r="AF91" s="144"/>
      <c r="AG91" s="144"/>
      <c r="AH91" s="144"/>
      <c r="AI91" s="144"/>
      <c r="AJ91" s="144"/>
      <c r="AK91" s="144"/>
      <c r="AL91" s="144"/>
      <c r="AM91" s="144"/>
      <c r="AN91" s="144"/>
      <c r="AO91" s="144"/>
      <c r="AP91" s="144"/>
      <c r="AQ91" s="144"/>
      <c r="AR91" s="144"/>
      <c r="AS91" s="144"/>
      <c r="AT91" s="144"/>
      <c r="AU91" s="144"/>
      <c r="AV91" s="144"/>
      <c r="AW91" s="144"/>
      <c r="AX91" s="144"/>
      <c r="AY91" s="144"/>
      <c r="AZ91" s="144"/>
      <c r="BA91" s="144"/>
      <c r="BB91" s="144"/>
      <c r="BC91" s="144"/>
      <c r="BD91" s="144"/>
      <c r="BE91" s="144"/>
      <c r="BF91" s="144"/>
      <c r="BG91" s="144"/>
      <c r="BH91" s="144"/>
      <c r="BI91" s="144"/>
      <c r="BJ91" s="144"/>
      <c r="BK91" s="144"/>
      <c r="BL91" s="144"/>
      <c r="BM91" s="144"/>
      <c r="BN91" s="144"/>
      <c r="BO91" s="144"/>
      <c r="BP91" s="144"/>
      <c r="BQ91" s="144"/>
      <c r="BR91" s="144"/>
      <c r="BS91" s="144"/>
      <c r="BT91" s="144"/>
      <c r="BU91" s="144"/>
      <c r="BV91" s="144"/>
      <c r="BW91" s="144"/>
      <c r="BX91" s="144"/>
      <c r="BY91" s="144"/>
      <c r="BZ91" s="144"/>
      <c r="CA91" s="144"/>
      <c r="CB91" s="144"/>
      <c r="CC91" s="144"/>
      <c r="CD91" s="144"/>
      <c r="CE91" s="144"/>
      <c r="CF91" s="144"/>
      <c r="CG91" s="144"/>
      <c r="CH91" s="144"/>
      <c r="CI91" s="144"/>
      <c r="CJ91" s="144"/>
      <c r="CK91" s="144"/>
      <c r="CL91" s="144"/>
      <c r="CM91" s="144"/>
      <c r="CN91" s="144"/>
      <c r="CO91" s="144"/>
      <c r="CP91" s="144"/>
      <c r="CQ91" s="144"/>
      <c r="CR91" s="144"/>
      <c r="CS91" s="144"/>
      <c r="CT91" s="144"/>
      <c r="CU91" s="144"/>
      <c r="CV91" s="144"/>
      <c r="CW91" s="144"/>
      <c r="CX91" s="145"/>
      <c r="CY91" s="139"/>
      <c r="CZ91" s="127">
        <f t="shared" si="2"/>
        <v>0</v>
      </c>
      <c r="DA91" s="129">
        <f t="shared" si="3"/>
        <v>0</v>
      </c>
      <c r="DB91" s="129">
        <f t="shared" si="4"/>
        <v>0</v>
      </c>
      <c r="DC91" s="129">
        <f t="shared" si="5"/>
        <v>0</v>
      </c>
      <c r="DD91" s="129">
        <f t="shared" si="6"/>
        <v>0</v>
      </c>
      <c r="DE91" s="129">
        <f t="shared" si="7"/>
        <v>0</v>
      </c>
      <c r="DF91" s="129">
        <f t="shared" si="8"/>
        <v>0</v>
      </c>
      <c r="DG91" s="129">
        <f t="shared" si="9"/>
        <v>0</v>
      </c>
      <c r="DH91" s="129">
        <f t="shared" si="10"/>
        <v>0</v>
      </c>
      <c r="DI91" s="139"/>
    </row>
    <row r="92" ht="22.5" customHeight="1">
      <c r="A92" s="140" t="str">
        <f t="shared" si="1"/>
        <v>|</v>
      </c>
      <c r="B92" s="141"/>
      <c r="C92" s="142"/>
      <c r="D92" s="143"/>
      <c r="E92" s="143"/>
      <c r="F92" s="143"/>
      <c r="G92" s="144"/>
      <c r="H92" s="144"/>
      <c r="I92" s="144"/>
      <c r="J92" s="145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  <c r="AD92" s="144"/>
      <c r="AE92" s="144"/>
      <c r="AF92" s="144"/>
      <c r="AG92" s="144"/>
      <c r="AH92" s="144"/>
      <c r="AI92" s="144"/>
      <c r="AJ92" s="144"/>
      <c r="AK92" s="144"/>
      <c r="AL92" s="144"/>
      <c r="AM92" s="144"/>
      <c r="AN92" s="144"/>
      <c r="AO92" s="144"/>
      <c r="AP92" s="144"/>
      <c r="AQ92" s="144"/>
      <c r="AR92" s="144"/>
      <c r="AS92" s="144"/>
      <c r="AT92" s="144"/>
      <c r="AU92" s="144"/>
      <c r="AV92" s="144"/>
      <c r="AW92" s="144"/>
      <c r="AX92" s="144"/>
      <c r="AY92" s="144"/>
      <c r="AZ92" s="144"/>
      <c r="BA92" s="144"/>
      <c r="BB92" s="144"/>
      <c r="BC92" s="144"/>
      <c r="BD92" s="144"/>
      <c r="BE92" s="144"/>
      <c r="BF92" s="144"/>
      <c r="BG92" s="144"/>
      <c r="BH92" s="144"/>
      <c r="BI92" s="144"/>
      <c r="BJ92" s="144"/>
      <c r="BK92" s="144"/>
      <c r="BL92" s="144"/>
      <c r="BM92" s="144"/>
      <c r="BN92" s="144"/>
      <c r="BO92" s="144"/>
      <c r="BP92" s="144"/>
      <c r="BQ92" s="144"/>
      <c r="BR92" s="144"/>
      <c r="BS92" s="144"/>
      <c r="BT92" s="144"/>
      <c r="BU92" s="144"/>
      <c r="BV92" s="144"/>
      <c r="BW92" s="144"/>
      <c r="BX92" s="144"/>
      <c r="BY92" s="144"/>
      <c r="BZ92" s="144"/>
      <c r="CA92" s="144"/>
      <c r="CB92" s="144"/>
      <c r="CC92" s="144"/>
      <c r="CD92" s="144"/>
      <c r="CE92" s="144"/>
      <c r="CF92" s="144"/>
      <c r="CG92" s="144"/>
      <c r="CH92" s="144"/>
      <c r="CI92" s="144"/>
      <c r="CJ92" s="144"/>
      <c r="CK92" s="144"/>
      <c r="CL92" s="144"/>
      <c r="CM92" s="144"/>
      <c r="CN92" s="144"/>
      <c r="CO92" s="144"/>
      <c r="CP92" s="144"/>
      <c r="CQ92" s="144"/>
      <c r="CR92" s="144"/>
      <c r="CS92" s="144"/>
      <c r="CT92" s="144"/>
      <c r="CU92" s="144"/>
      <c r="CV92" s="144"/>
      <c r="CW92" s="144"/>
      <c r="CX92" s="145"/>
      <c r="CY92" s="139"/>
      <c r="CZ92" s="127">
        <f t="shared" si="2"/>
        <v>0</v>
      </c>
      <c r="DA92" s="129">
        <f t="shared" si="3"/>
        <v>0</v>
      </c>
      <c r="DB92" s="129">
        <f t="shared" si="4"/>
        <v>0</v>
      </c>
      <c r="DC92" s="129">
        <f t="shared" si="5"/>
        <v>0</v>
      </c>
      <c r="DD92" s="129">
        <f t="shared" si="6"/>
        <v>0</v>
      </c>
      <c r="DE92" s="129">
        <f t="shared" si="7"/>
        <v>0</v>
      </c>
      <c r="DF92" s="129">
        <f t="shared" si="8"/>
        <v>0</v>
      </c>
      <c r="DG92" s="129">
        <f t="shared" si="9"/>
        <v>0</v>
      </c>
      <c r="DH92" s="129">
        <f t="shared" si="10"/>
        <v>0</v>
      </c>
      <c r="DI92" s="139"/>
    </row>
    <row r="93" ht="22.5" customHeight="1">
      <c r="A93" s="140" t="str">
        <f t="shared" si="1"/>
        <v>|</v>
      </c>
      <c r="B93" s="141"/>
      <c r="C93" s="142"/>
      <c r="D93" s="143"/>
      <c r="E93" s="143"/>
      <c r="F93" s="143"/>
      <c r="G93" s="144"/>
      <c r="H93" s="144"/>
      <c r="I93" s="144"/>
      <c r="J93" s="145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  <c r="AH93" s="144"/>
      <c r="AI93" s="144"/>
      <c r="AJ93" s="144"/>
      <c r="AK93" s="144"/>
      <c r="AL93" s="144"/>
      <c r="AM93" s="144"/>
      <c r="AN93" s="144"/>
      <c r="AO93" s="144"/>
      <c r="AP93" s="144"/>
      <c r="AQ93" s="144"/>
      <c r="AR93" s="144"/>
      <c r="AS93" s="144"/>
      <c r="AT93" s="144"/>
      <c r="AU93" s="144"/>
      <c r="AV93" s="144"/>
      <c r="AW93" s="144"/>
      <c r="AX93" s="144"/>
      <c r="AY93" s="144"/>
      <c r="AZ93" s="144"/>
      <c r="BA93" s="144"/>
      <c r="BB93" s="144"/>
      <c r="BC93" s="144"/>
      <c r="BD93" s="144"/>
      <c r="BE93" s="144"/>
      <c r="BF93" s="144"/>
      <c r="BG93" s="144"/>
      <c r="BH93" s="144"/>
      <c r="BI93" s="144"/>
      <c r="BJ93" s="144"/>
      <c r="BK93" s="144"/>
      <c r="BL93" s="144"/>
      <c r="BM93" s="144"/>
      <c r="BN93" s="144"/>
      <c r="BO93" s="144"/>
      <c r="BP93" s="144"/>
      <c r="BQ93" s="144"/>
      <c r="BR93" s="144"/>
      <c r="BS93" s="144"/>
      <c r="BT93" s="144"/>
      <c r="BU93" s="144"/>
      <c r="BV93" s="144"/>
      <c r="BW93" s="144"/>
      <c r="BX93" s="144"/>
      <c r="BY93" s="144"/>
      <c r="BZ93" s="144"/>
      <c r="CA93" s="144"/>
      <c r="CB93" s="144"/>
      <c r="CC93" s="144"/>
      <c r="CD93" s="144"/>
      <c r="CE93" s="144"/>
      <c r="CF93" s="144"/>
      <c r="CG93" s="144"/>
      <c r="CH93" s="144"/>
      <c r="CI93" s="144"/>
      <c r="CJ93" s="144"/>
      <c r="CK93" s="144"/>
      <c r="CL93" s="144"/>
      <c r="CM93" s="144"/>
      <c r="CN93" s="144"/>
      <c r="CO93" s="144"/>
      <c r="CP93" s="144"/>
      <c r="CQ93" s="144"/>
      <c r="CR93" s="144"/>
      <c r="CS93" s="144"/>
      <c r="CT93" s="144"/>
      <c r="CU93" s="144"/>
      <c r="CV93" s="144"/>
      <c r="CW93" s="144"/>
      <c r="CX93" s="145"/>
      <c r="CY93" s="139"/>
      <c r="CZ93" s="127">
        <f t="shared" si="2"/>
        <v>0</v>
      </c>
      <c r="DA93" s="129">
        <f t="shared" si="3"/>
        <v>0</v>
      </c>
      <c r="DB93" s="129">
        <f t="shared" si="4"/>
        <v>0</v>
      </c>
      <c r="DC93" s="129">
        <f t="shared" si="5"/>
        <v>0</v>
      </c>
      <c r="DD93" s="129">
        <f t="shared" si="6"/>
        <v>0</v>
      </c>
      <c r="DE93" s="129">
        <f t="shared" si="7"/>
        <v>0</v>
      </c>
      <c r="DF93" s="129">
        <f t="shared" si="8"/>
        <v>0</v>
      </c>
      <c r="DG93" s="129">
        <f t="shared" si="9"/>
        <v>0</v>
      </c>
      <c r="DH93" s="129">
        <f t="shared" si="10"/>
        <v>0</v>
      </c>
      <c r="DI93" s="139"/>
    </row>
    <row r="94" ht="22.5" customHeight="1">
      <c r="A94" s="140" t="str">
        <f t="shared" si="1"/>
        <v>|</v>
      </c>
      <c r="B94" s="141"/>
      <c r="C94" s="142"/>
      <c r="D94" s="143"/>
      <c r="E94" s="143"/>
      <c r="F94" s="143"/>
      <c r="G94" s="144"/>
      <c r="H94" s="144"/>
      <c r="I94" s="144"/>
      <c r="J94" s="145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  <c r="AH94" s="144"/>
      <c r="AI94" s="144"/>
      <c r="AJ94" s="144"/>
      <c r="AK94" s="144"/>
      <c r="AL94" s="144"/>
      <c r="AM94" s="144"/>
      <c r="AN94" s="144"/>
      <c r="AO94" s="144"/>
      <c r="AP94" s="144"/>
      <c r="AQ94" s="144"/>
      <c r="AR94" s="144"/>
      <c r="AS94" s="144"/>
      <c r="AT94" s="144"/>
      <c r="AU94" s="144"/>
      <c r="AV94" s="144"/>
      <c r="AW94" s="144"/>
      <c r="AX94" s="144"/>
      <c r="AY94" s="144"/>
      <c r="AZ94" s="144"/>
      <c r="BA94" s="144"/>
      <c r="BB94" s="144"/>
      <c r="BC94" s="144"/>
      <c r="BD94" s="144"/>
      <c r="BE94" s="144"/>
      <c r="BF94" s="144"/>
      <c r="BG94" s="144"/>
      <c r="BH94" s="144"/>
      <c r="BI94" s="144"/>
      <c r="BJ94" s="144"/>
      <c r="BK94" s="144"/>
      <c r="BL94" s="144"/>
      <c r="BM94" s="144"/>
      <c r="BN94" s="144"/>
      <c r="BO94" s="144"/>
      <c r="BP94" s="144"/>
      <c r="BQ94" s="144"/>
      <c r="BR94" s="144"/>
      <c r="BS94" s="144"/>
      <c r="BT94" s="144"/>
      <c r="BU94" s="144"/>
      <c r="BV94" s="144"/>
      <c r="BW94" s="144"/>
      <c r="BX94" s="144"/>
      <c r="BY94" s="144"/>
      <c r="BZ94" s="144"/>
      <c r="CA94" s="144"/>
      <c r="CB94" s="144"/>
      <c r="CC94" s="144"/>
      <c r="CD94" s="144"/>
      <c r="CE94" s="144"/>
      <c r="CF94" s="144"/>
      <c r="CG94" s="144"/>
      <c r="CH94" s="144"/>
      <c r="CI94" s="144"/>
      <c r="CJ94" s="144"/>
      <c r="CK94" s="144"/>
      <c r="CL94" s="144"/>
      <c r="CM94" s="144"/>
      <c r="CN94" s="144"/>
      <c r="CO94" s="144"/>
      <c r="CP94" s="144"/>
      <c r="CQ94" s="144"/>
      <c r="CR94" s="144"/>
      <c r="CS94" s="144"/>
      <c r="CT94" s="144"/>
      <c r="CU94" s="144"/>
      <c r="CV94" s="144"/>
      <c r="CW94" s="144"/>
      <c r="CX94" s="145"/>
      <c r="CY94" s="139"/>
      <c r="CZ94" s="127">
        <f t="shared" si="2"/>
        <v>0</v>
      </c>
      <c r="DA94" s="129">
        <f t="shared" si="3"/>
        <v>0</v>
      </c>
      <c r="DB94" s="129">
        <f t="shared" si="4"/>
        <v>0</v>
      </c>
      <c r="DC94" s="129">
        <f t="shared" si="5"/>
        <v>0</v>
      </c>
      <c r="DD94" s="129">
        <f t="shared" si="6"/>
        <v>0</v>
      </c>
      <c r="DE94" s="129">
        <f t="shared" si="7"/>
        <v>0</v>
      </c>
      <c r="DF94" s="129">
        <f t="shared" si="8"/>
        <v>0</v>
      </c>
      <c r="DG94" s="129">
        <f t="shared" si="9"/>
        <v>0</v>
      </c>
      <c r="DH94" s="129">
        <f t="shared" si="10"/>
        <v>0</v>
      </c>
      <c r="DI94" s="139"/>
    </row>
    <row r="95" ht="22.5" customHeight="1">
      <c r="A95" s="140" t="str">
        <f t="shared" si="1"/>
        <v>|</v>
      </c>
      <c r="B95" s="141"/>
      <c r="C95" s="142"/>
      <c r="D95" s="143"/>
      <c r="E95" s="143"/>
      <c r="F95" s="143"/>
      <c r="G95" s="144"/>
      <c r="H95" s="144"/>
      <c r="I95" s="144"/>
      <c r="J95" s="145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  <c r="AD95" s="144"/>
      <c r="AE95" s="144"/>
      <c r="AF95" s="144"/>
      <c r="AG95" s="144"/>
      <c r="AH95" s="144"/>
      <c r="AI95" s="144"/>
      <c r="AJ95" s="144"/>
      <c r="AK95" s="144"/>
      <c r="AL95" s="144"/>
      <c r="AM95" s="144"/>
      <c r="AN95" s="144"/>
      <c r="AO95" s="144"/>
      <c r="AP95" s="144"/>
      <c r="AQ95" s="144"/>
      <c r="AR95" s="144"/>
      <c r="AS95" s="144"/>
      <c r="AT95" s="144"/>
      <c r="AU95" s="144"/>
      <c r="AV95" s="144"/>
      <c r="AW95" s="144"/>
      <c r="AX95" s="144"/>
      <c r="AY95" s="144"/>
      <c r="AZ95" s="144"/>
      <c r="BA95" s="144"/>
      <c r="BB95" s="144"/>
      <c r="BC95" s="144"/>
      <c r="BD95" s="144"/>
      <c r="BE95" s="144"/>
      <c r="BF95" s="144"/>
      <c r="BG95" s="144"/>
      <c r="BH95" s="144"/>
      <c r="BI95" s="144"/>
      <c r="BJ95" s="144"/>
      <c r="BK95" s="144"/>
      <c r="BL95" s="144"/>
      <c r="BM95" s="144"/>
      <c r="BN95" s="144"/>
      <c r="BO95" s="144"/>
      <c r="BP95" s="144"/>
      <c r="BQ95" s="144"/>
      <c r="BR95" s="144"/>
      <c r="BS95" s="144"/>
      <c r="BT95" s="144"/>
      <c r="BU95" s="144"/>
      <c r="BV95" s="144"/>
      <c r="BW95" s="144"/>
      <c r="BX95" s="144"/>
      <c r="BY95" s="144"/>
      <c r="BZ95" s="144"/>
      <c r="CA95" s="144"/>
      <c r="CB95" s="144"/>
      <c r="CC95" s="144"/>
      <c r="CD95" s="144"/>
      <c r="CE95" s="144"/>
      <c r="CF95" s="144"/>
      <c r="CG95" s="144"/>
      <c r="CH95" s="144"/>
      <c r="CI95" s="144"/>
      <c r="CJ95" s="144"/>
      <c r="CK95" s="144"/>
      <c r="CL95" s="144"/>
      <c r="CM95" s="144"/>
      <c r="CN95" s="144"/>
      <c r="CO95" s="144"/>
      <c r="CP95" s="144"/>
      <c r="CQ95" s="144"/>
      <c r="CR95" s="144"/>
      <c r="CS95" s="144"/>
      <c r="CT95" s="144"/>
      <c r="CU95" s="144"/>
      <c r="CV95" s="144"/>
      <c r="CW95" s="144"/>
      <c r="CX95" s="145"/>
      <c r="CY95" s="139"/>
      <c r="CZ95" s="127">
        <f t="shared" si="2"/>
        <v>0</v>
      </c>
      <c r="DA95" s="129">
        <f t="shared" si="3"/>
        <v>0</v>
      </c>
      <c r="DB95" s="129">
        <f t="shared" si="4"/>
        <v>0</v>
      </c>
      <c r="DC95" s="129">
        <f t="shared" si="5"/>
        <v>0</v>
      </c>
      <c r="DD95" s="129">
        <f t="shared" si="6"/>
        <v>0</v>
      </c>
      <c r="DE95" s="129">
        <f t="shared" si="7"/>
        <v>0</v>
      </c>
      <c r="DF95" s="129">
        <f t="shared" si="8"/>
        <v>0</v>
      </c>
      <c r="DG95" s="129">
        <f t="shared" si="9"/>
        <v>0</v>
      </c>
      <c r="DH95" s="129">
        <f t="shared" si="10"/>
        <v>0</v>
      </c>
      <c r="DI95" s="139"/>
    </row>
    <row r="96" ht="22.5" customHeight="1">
      <c r="A96" s="140" t="str">
        <f t="shared" si="1"/>
        <v>|</v>
      </c>
      <c r="B96" s="141"/>
      <c r="C96" s="142"/>
      <c r="D96" s="143"/>
      <c r="E96" s="143"/>
      <c r="F96" s="143"/>
      <c r="G96" s="144"/>
      <c r="H96" s="144"/>
      <c r="I96" s="144"/>
      <c r="J96" s="145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  <c r="AD96" s="144"/>
      <c r="AE96" s="144"/>
      <c r="AF96" s="144"/>
      <c r="AG96" s="144"/>
      <c r="AH96" s="144"/>
      <c r="AI96" s="144"/>
      <c r="AJ96" s="144"/>
      <c r="AK96" s="144"/>
      <c r="AL96" s="144"/>
      <c r="AM96" s="144"/>
      <c r="AN96" s="144"/>
      <c r="AO96" s="144"/>
      <c r="AP96" s="144"/>
      <c r="AQ96" s="144"/>
      <c r="AR96" s="144"/>
      <c r="AS96" s="144"/>
      <c r="AT96" s="144"/>
      <c r="AU96" s="144"/>
      <c r="AV96" s="144"/>
      <c r="AW96" s="144"/>
      <c r="AX96" s="144"/>
      <c r="AY96" s="144"/>
      <c r="AZ96" s="144"/>
      <c r="BA96" s="144"/>
      <c r="BB96" s="144"/>
      <c r="BC96" s="144"/>
      <c r="BD96" s="144"/>
      <c r="BE96" s="144"/>
      <c r="BF96" s="144"/>
      <c r="BG96" s="144"/>
      <c r="BH96" s="144"/>
      <c r="BI96" s="144"/>
      <c r="BJ96" s="144"/>
      <c r="BK96" s="144"/>
      <c r="BL96" s="144"/>
      <c r="BM96" s="144"/>
      <c r="BN96" s="144"/>
      <c r="BO96" s="144"/>
      <c r="BP96" s="144"/>
      <c r="BQ96" s="144"/>
      <c r="BR96" s="144"/>
      <c r="BS96" s="144"/>
      <c r="BT96" s="144"/>
      <c r="BU96" s="144"/>
      <c r="BV96" s="144"/>
      <c r="BW96" s="144"/>
      <c r="BX96" s="144"/>
      <c r="BY96" s="144"/>
      <c r="BZ96" s="144"/>
      <c r="CA96" s="144"/>
      <c r="CB96" s="144"/>
      <c r="CC96" s="144"/>
      <c r="CD96" s="144"/>
      <c r="CE96" s="144"/>
      <c r="CF96" s="144"/>
      <c r="CG96" s="144"/>
      <c r="CH96" s="144"/>
      <c r="CI96" s="144"/>
      <c r="CJ96" s="144"/>
      <c r="CK96" s="144"/>
      <c r="CL96" s="144"/>
      <c r="CM96" s="144"/>
      <c r="CN96" s="144"/>
      <c r="CO96" s="144"/>
      <c r="CP96" s="144"/>
      <c r="CQ96" s="144"/>
      <c r="CR96" s="144"/>
      <c r="CS96" s="144"/>
      <c r="CT96" s="144"/>
      <c r="CU96" s="144"/>
      <c r="CV96" s="144"/>
      <c r="CW96" s="144"/>
      <c r="CX96" s="145"/>
      <c r="CY96" s="139"/>
      <c r="CZ96" s="127">
        <f t="shared" si="2"/>
        <v>0</v>
      </c>
      <c r="DA96" s="129">
        <f t="shared" si="3"/>
        <v>0</v>
      </c>
      <c r="DB96" s="129">
        <f t="shared" si="4"/>
        <v>0</v>
      </c>
      <c r="DC96" s="129">
        <f t="shared" si="5"/>
        <v>0</v>
      </c>
      <c r="DD96" s="129">
        <f t="shared" si="6"/>
        <v>0</v>
      </c>
      <c r="DE96" s="129">
        <f t="shared" si="7"/>
        <v>0</v>
      </c>
      <c r="DF96" s="129">
        <f t="shared" si="8"/>
        <v>0</v>
      </c>
      <c r="DG96" s="129">
        <f t="shared" si="9"/>
        <v>0</v>
      </c>
      <c r="DH96" s="129">
        <f t="shared" si="10"/>
        <v>0</v>
      </c>
      <c r="DI96" s="139"/>
    </row>
    <row r="97" ht="22.5" customHeight="1">
      <c r="A97" s="140" t="str">
        <f t="shared" si="1"/>
        <v>|</v>
      </c>
      <c r="B97" s="141"/>
      <c r="C97" s="142"/>
      <c r="D97" s="143"/>
      <c r="E97" s="143"/>
      <c r="F97" s="143"/>
      <c r="G97" s="144"/>
      <c r="H97" s="144"/>
      <c r="I97" s="144"/>
      <c r="J97" s="145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  <c r="AD97" s="144"/>
      <c r="AE97" s="144"/>
      <c r="AF97" s="144"/>
      <c r="AG97" s="144"/>
      <c r="AH97" s="144"/>
      <c r="AI97" s="144"/>
      <c r="AJ97" s="144"/>
      <c r="AK97" s="144"/>
      <c r="AL97" s="144"/>
      <c r="AM97" s="144"/>
      <c r="AN97" s="144"/>
      <c r="AO97" s="144"/>
      <c r="AP97" s="144"/>
      <c r="AQ97" s="144"/>
      <c r="AR97" s="144"/>
      <c r="AS97" s="144"/>
      <c r="AT97" s="144"/>
      <c r="AU97" s="144"/>
      <c r="AV97" s="144"/>
      <c r="AW97" s="144"/>
      <c r="AX97" s="144"/>
      <c r="AY97" s="144"/>
      <c r="AZ97" s="144"/>
      <c r="BA97" s="144"/>
      <c r="BB97" s="144"/>
      <c r="BC97" s="144"/>
      <c r="BD97" s="144"/>
      <c r="BE97" s="144"/>
      <c r="BF97" s="144"/>
      <c r="BG97" s="144"/>
      <c r="BH97" s="144"/>
      <c r="BI97" s="144"/>
      <c r="BJ97" s="144"/>
      <c r="BK97" s="144"/>
      <c r="BL97" s="144"/>
      <c r="BM97" s="144"/>
      <c r="BN97" s="144"/>
      <c r="BO97" s="144"/>
      <c r="BP97" s="144"/>
      <c r="BQ97" s="144"/>
      <c r="BR97" s="144"/>
      <c r="BS97" s="144"/>
      <c r="BT97" s="144"/>
      <c r="BU97" s="144"/>
      <c r="BV97" s="144"/>
      <c r="BW97" s="144"/>
      <c r="BX97" s="144"/>
      <c r="BY97" s="144"/>
      <c r="BZ97" s="144"/>
      <c r="CA97" s="144"/>
      <c r="CB97" s="144"/>
      <c r="CC97" s="144"/>
      <c r="CD97" s="144"/>
      <c r="CE97" s="144"/>
      <c r="CF97" s="144"/>
      <c r="CG97" s="144"/>
      <c r="CH97" s="144"/>
      <c r="CI97" s="144"/>
      <c r="CJ97" s="144"/>
      <c r="CK97" s="144"/>
      <c r="CL97" s="144"/>
      <c r="CM97" s="144"/>
      <c r="CN97" s="144"/>
      <c r="CO97" s="144"/>
      <c r="CP97" s="144"/>
      <c r="CQ97" s="144"/>
      <c r="CR97" s="144"/>
      <c r="CS97" s="144"/>
      <c r="CT97" s="144"/>
      <c r="CU97" s="144"/>
      <c r="CV97" s="144"/>
      <c r="CW97" s="144"/>
      <c r="CX97" s="145"/>
      <c r="CY97" s="139"/>
      <c r="CZ97" s="127">
        <f t="shared" si="2"/>
        <v>0</v>
      </c>
      <c r="DA97" s="129">
        <f t="shared" si="3"/>
        <v>0</v>
      </c>
      <c r="DB97" s="129">
        <f t="shared" si="4"/>
        <v>0</v>
      </c>
      <c r="DC97" s="129">
        <f t="shared" si="5"/>
        <v>0</v>
      </c>
      <c r="DD97" s="129">
        <f t="shared" si="6"/>
        <v>0</v>
      </c>
      <c r="DE97" s="129">
        <f t="shared" si="7"/>
        <v>0</v>
      </c>
      <c r="DF97" s="129">
        <f t="shared" si="8"/>
        <v>0</v>
      </c>
      <c r="DG97" s="129">
        <f t="shared" si="9"/>
        <v>0</v>
      </c>
      <c r="DH97" s="129">
        <f t="shared" si="10"/>
        <v>0</v>
      </c>
      <c r="DI97" s="139"/>
    </row>
    <row r="98" ht="22.5" customHeight="1">
      <c r="A98" s="140" t="str">
        <f t="shared" si="1"/>
        <v>|</v>
      </c>
      <c r="B98" s="141"/>
      <c r="C98" s="142"/>
      <c r="D98" s="143"/>
      <c r="E98" s="143"/>
      <c r="F98" s="143"/>
      <c r="G98" s="144"/>
      <c r="H98" s="144"/>
      <c r="I98" s="144"/>
      <c r="J98" s="145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  <c r="AD98" s="144"/>
      <c r="AE98" s="144"/>
      <c r="AF98" s="144"/>
      <c r="AG98" s="144"/>
      <c r="AH98" s="144"/>
      <c r="AI98" s="144"/>
      <c r="AJ98" s="144"/>
      <c r="AK98" s="144"/>
      <c r="AL98" s="144"/>
      <c r="AM98" s="144"/>
      <c r="AN98" s="144"/>
      <c r="AO98" s="144"/>
      <c r="AP98" s="144"/>
      <c r="AQ98" s="144"/>
      <c r="AR98" s="144"/>
      <c r="AS98" s="144"/>
      <c r="AT98" s="144"/>
      <c r="AU98" s="144"/>
      <c r="AV98" s="144"/>
      <c r="AW98" s="144"/>
      <c r="AX98" s="144"/>
      <c r="AY98" s="144"/>
      <c r="AZ98" s="144"/>
      <c r="BA98" s="144"/>
      <c r="BB98" s="144"/>
      <c r="BC98" s="144"/>
      <c r="BD98" s="144"/>
      <c r="BE98" s="144"/>
      <c r="BF98" s="144"/>
      <c r="BG98" s="144"/>
      <c r="BH98" s="144"/>
      <c r="BI98" s="144"/>
      <c r="BJ98" s="144"/>
      <c r="BK98" s="144"/>
      <c r="BL98" s="144"/>
      <c r="BM98" s="144"/>
      <c r="BN98" s="144"/>
      <c r="BO98" s="144"/>
      <c r="BP98" s="144"/>
      <c r="BQ98" s="144"/>
      <c r="BR98" s="144"/>
      <c r="BS98" s="144"/>
      <c r="BT98" s="144"/>
      <c r="BU98" s="144"/>
      <c r="BV98" s="144"/>
      <c r="BW98" s="144"/>
      <c r="BX98" s="144"/>
      <c r="BY98" s="144"/>
      <c r="BZ98" s="144"/>
      <c r="CA98" s="144"/>
      <c r="CB98" s="144"/>
      <c r="CC98" s="144"/>
      <c r="CD98" s="144"/>
      <c r="CE98" s="144"/>
      <c r="CF98" s="144"/>
      <c r="CG98" s="144"/>
      <c r="CH98" s="144"/>
      <c r="CI98" s="144"/>
      <c r="CJ98" s="144"/>
      <c r="CK98" s="144"/>
      <c r="CL98" s="144"/>
      <c r="CM98" s="144"/>
      <c r="CN98" s="144"/>
      <c r="CO98" s="144"/>
      <c r="CP98" s="144"/>
      <c r="CQ98" s="144"/>
      <c r="CR98" s="144"/>
      <c r="CS98" s="144"/>
      <c r="CT98" s="144"/>
      <c r="CU98" s="144"/>
      <c r="CV98" s="144"/>
      <c r="CW98" s="144"/>
      <c r="CX98" s="145"/>
      <c r="CY98" s="139"/>
      <c r="CZ98" s="127">
        <f t="shared" si="2"/>
        <v>0</v>
      </c>
      <c r="DA98" s="129">
        <f t="shared" si="3"/>
        <v>0</v>
      </c>
      <c r="DB98" s="129">
        <f t="shared" si="4"/>
        <v>0</v>
      </c>
      <c r="DC98" s="129">
        <f t="shared" si="5"/>
        <v>0</v>
      </c>
      <c r="DD98" s="129">
        <f t="shared" si="6"/>
        <v>0</v>
      </c>
      <c r="DE98" s="129">
        <f t="shared" si="7"/>
        <v>0</v>
      </c>
      <c r="DF98" s="129">
        <f t="shared" si="8"/>
        <v>0</v>
      </c>
      <c r="DG98" s="129">
        <f t="shared" si="9"/>
        <v>0</v>
      </c>
      <c r="DH98" s="129">
        <f t="shared" si="10"/>
        <v>0</v>
      </c>
      <c r="DI98" s="139"/>
    </row>
    <row r="99" ht="22.5" customHeight="1">
      <c r="A99" s="140" t="str">
        <f t="shared" si="1"/>
        <v>|</v>
      </c>
      <c r="B99" s="141"/>
      <c r="C99" s="142"/>
      <c r="D99" s="143"/>
      <c r="E99" s="143"/>
      <c r="F99" s="143"/>
      <c r="G99" s="144"/>
      <c r="H99" s="144"/>
      <c r="I99" s="144"/>
      <c r="J99" s="145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  <c r="AD99" s="144"/>
      <c r="AE99" s="144"/>
      <c r="AF99" s="144"/>
      <c r="AG99" s="144"/>
      <c r="AH99" s="144"/>
      <c r="AI99" s="144"/>
      <c r="AJ99" s="144"/>
      <c r="AK99" s="144"/>
      <c r="AL99" s="144"/>
      <c r="AM99" s="144"/>
      <c r="AN99" s="144"/>
      <c r="AO99" s="144"/>
      <c r="AP99" s="144"/>
      <c r="AQ99" s="144"/>
      <c r="AR99" s="144"/>
      <c r="AS99" s="144"/>
      <c r="AT99" s="144"/>
      <c r="AU99" s="144"/>
      <c r="AV99" s="144"/>
      <c r="AW99" s="144"/>
      <c r="AX99" s="144"/>
      <c r="AY99" s="144"/>
      <c r="AZ99" s="144"/>
      <c r="BA99" s="144"/>
      <c r="BB99" s="144"/>
      <c r="BC99" s="144"/>
      <c r="BD99" s="144"/>
      <c r="BE99" s="144"/>
      <c r="BF99" s="144"/>
      <c r="BG99" s="144"/>
      <c r="BH99" s="144"/>
      <c r="BI99" s="144"/>
      <c r="BJ99" s="144"/>
      <c r="BK99" s="144"/>
      <c r="BL99" s="144"/>
      <c r="BM99" s="144"/>
      <c r="BN99" s="144"/>
      <c r="BO99" s="144"/>
      <c r="BP99" s="144"/>
      <c r="BQ99" s="144"/>
      <c r="BR99" s="144"/>
      <c r="BS99" s="144"/>
      <c r="BT99" s="144"/>
      <c r="BU99" s="144"/>
      <c r="BV99" s="144"/>
      <c r="BW99" s="144"/>
      <c r="BX99" s="144"/>
      <c r="BY99" s="144"/>
      <c r="BZ99" s="144"/>
      <c r="CA99" s="144"/>
      <c r="CB99" s="144"/>
      <c r="CC99" s="144"/>
      <c r="CD99" s="144"/>
      <c r="CE99" s="144"/>
      <c r="CF99" s="144"/>
      <c r="CG99" s="144"/>
      <c r="CH99" s="144"/>
      <c r="CI99" s="144"/>
      <c r="CJ99" s="144"/>
      <c r="CK99" s="144"/>
      <c r="CL99" s="144"/>
      <c r="CM99" s="144"/>
      <c r="CN99" s="144"/>
      <c r="CO99" s="144"/>
      <c r="CP99" s="144"/>
      <c r="CQ99" s="144"/>
      <c r="CR99" s="144"/>
      <c r="CS99" s="144"/>
      <c r="CT99" s="144"/>
      <c r="CU99" s="144"/>
      <c r="CV99" s="144"/>
      <c r="CW99" s="144"/>
      <c r="CX99" s="145"/>
      <c r="CY99" s="139"/>
      <c r="CZ99" s="127">
        <f t="shared" si="2"/>
        <v>0</v>
      </c>
      <c r="DA99" s="129">
        <f t="shared" si="3"/>
        <v>0</v>
      </c>
      <c r="DB99" s="129">
        <f t="shared" si="4"/>
        <v>0</v>
      </c>
      <c r="DC99" s="129">
        <f t="shared" si="5"/>
        <v>0</v>
      </c>
      <c r="DD99" s="129">
        <f t="shared" si="6"/>
        <v>0</v>
      </c>
      <c r="DE99" s="129">
        <f t="shared" si="7"/>
        <v>0</v>
      </c>
      <c r="DF99" s="129">
        <f t="shared" si="8"/>
        <v>0</v>
      </c>
      <c r="DG99" s="129">
        <f t="shared" si="9"/>
        <v>0</v>
      </c>
      <c r="DH99" s="129">
        <f t="shared" si="10"/>
        <v>0</v>
      </c>
      <c r="DI99" s="139"/>
    </row>
    <row r="100" ht="22.5" customHeight="1">
      <c r="A100" s="140" t="str">
        <f t="shared" si="1"/>
        <v>|</v>
      </c>
      <c r="B100" s="141"/>
      <c r="C100" s="142"/>
      <c r="D100" s="143"/>
      <c r="E100" s="143"/>
      <c r="F100" s="143"/>
      <c r="G100" s="144"/>
      <c r="H100" s="144"/>
      <c r="I100" s="144"/>
      <c r="J100" s="145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  <c r="AD100" s="144"/>
      <c r="AE100" s="144"/>
      <c r="AF100" s="144"/>
      <c r="AG100" s="144"/>
      <c r="AH100" s="144"/>
      <c r="AI100" s="144"/>
      <c r="AJ100" s="144"/>
      <c r="AK100" s="144"/>
      <c r="AL100" s="144"/>
      <c r="AM100" s="144"/>
      <c r="AN100" s="144"/>
      <c r="AO100" s="144"/>
      <c r="AP100" s="144"/>
      <c r="AQ100" s="144"/>
      <c r="AR100" s="144"/>
      <c r="AS100" s="144"/>
      <c r="AT100" s="144"/>
      <c r="AU100" s="144"/>
      <c r="AV100" s="144"/>
      <c r="AW100" s="144"/>
      <c r="AX100" s="144"/>
      <c r="AY100" s="144"/>
      <c r="AZ100" s="144"/>
      <c r="BA100" s="144"/>
      <c r="BB100" s="144"/>
      <c r="BC100" s="144"/>
      <c r="BD100" s="144"/>
      <c r="BE100" s="144"/>
      <c r="BF100" s="144"/>
      <c r="BG100" s="144"/>
      <c r="BH100" s="144"/>
      <c r="BI100" s="144"/>
      <c r="BJ100" s="144"/>
      <c r="BK100" s="144"/>
      <c r="BL100" s="144"/>
      <c r="BM100" s="144"/>
      <c r="BN100" s="144"/>
      <c r="BO100" s="144"/>
      <c r="BP100" s="144"/>
      <c r="BQ100" s="144"/>
      <c r="BR100" s="144"/>
      <c r="BS100" s="144"/>
      <c r="BT100" s="144"/>
      <c r="BU100" s="144"/>
      <c r="BV100" s="144"/>
      <c r="BW100" s="144"/>
      <c r="BX100" s="144"/>
      <c r="BY100" s="144"/>
      <c r="BZ100" s="144"/>
      <c r="CA100" s="144"/>
      <c r="CB100" s="144"/>
      <c r="CC100" s="144"/>
      <c r="CD100" s="144"/>
      <c r="CE100" s="144"/>
      <c r="CF100" s="144"/>
      <c r="CG100" s="144"/>
      <c r="CH100" s="144"/>
      <c r="CI100" s="144"/>
      <c r="CJ100" s="144"/>
      <c r="CK100" s="144"/>
      <c r="CL100" s="144"/>
      <c r="CM100" s="144"/>
      <c r="CN100" s="144"/>
      <c r="CO100" s="144"/>
      <c r="CP100" s="144"/>
      <c r="CQ100" s="144"/>
      <c r="CR100" s="144"/>
      <c r="CS100" s="144"/>
      <c r="CT100" s="144"/>
      <c r="CU100" s="144"/>
      <c r="CV100" s="144"/>
      <c r="CW100" s="144"/>
      <c r="CX100" s="145"/>
      <c r="CY100" s="139"/>
      <c r="CZ100" s="127">
        <f t="shared" si="2"/>
        <v>0</v>
      </c>
      <c r="DA100" s="129">
        <f t="shared" si="3"/>
        <v>0</v>
      </c>
      <c r="DB100" s="129">
        <f t="shared" si="4"/>
        <v>0</v>
      </c>
      <c r="DC100" s="129">
        <f t="shared" si="5"/>
        <v>0</v>
      </c>
      <c r="DD100" s="129">
        <f t="shared" si="6"/>
        <v>0</v>
      </c>
      <c r="DE100" s="129">
        <f t="shared" si="7"/>
        <v>0</v>
      </c>
      <c r="DF100" s="129">
        <f t="shared" si="8"/>
        <v>0</v>
      </c>
      <c r="DG100" s="129">
        <f t="shared" si="9"/>
        <v>0</v>
      </c>
      <c r="DH100" s="129">
        <f t="shared" si="10"/>
        <v>0</v>
      </c>
      <c r="DI100" s="139"/>
    </row>
    <row r="101" ht="22.5" customHeight="1">
      <c r="A101" s="140" t="str">
        <f t="shared" si="1"/>
        <v>|</v>
      </c>
      <c r="B101" s="141"/>
      <c r="C101" s="142"/>
      <c r="D101" s="143"/>
      <c r="E101" s="143"/>
      <c r="F101" s="143"/>
      <c r="G101" s="144"/>
      <c r="H101" s="144"/>
      <c r="I101" s="144"/>
      <c r="J101" s="145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  <c r="AD101" s="144"/>
      <c r="AE101" s="144"/>
      <c r="AF101" s="144"/>
      <c r="AG101" s="144"/>
      <c r="AH101" s="144"/>
      <c r="AI101" s="144"/>
      <c r="AJ101" s="144"/>
      <c r="AK101" s="144"/>
      <c r="AL101" s="144"/>
      <c r="AM101" s="144"/>
      <c r="AN101" s="144"/>
      <c r="AO101" s="144"/>
      <c r="AP101" s="144"/>
      <c r="AQ101" s="144"/>
      <c r="AR101" s="144"/>
      <c r="AS101" s="144"/>
      <c r="AT101" s="144"/>
      <c r="AU101" s="144"/>
      <c r="AV101" s="144"/>
      <c r="AW101" s="144"/>
      <c r="AX101" s="144"/>
      <c r="AY101" s="144"/>
      <c r="AZ101" s="144"/>
      <c r="BA101" s="144"/>
      <c r="BB101" s="144"/>
      <c r="BC101" s="144"/>
      <c r="BD101" s="144"/>
      <c r="BE101" s="144"/>
      <c r="BF101" s="144"/>
      <c r="BG101" s="144"/>
      <c r="BH101" s="144"/>
      <c r="BI101" s="144"/>
      <c r="BJ101" s="144"/>
      <c r="BK101" s="144"/>
      <c r="BL101" s="144"/>
      <c r="BM101" s="144"/>
      <c r="BN101" s="144"/>
      <c r="BO101" s="144"/>
      <c r="BP101" s="144"/>
      <c r="BQ101" s="144"/>
      <c r="BR101" s="144"/>
      <c r="BS101" s="144"/>
      <c r="BT101" s="144"/>
      <c r="BU101" s="144"/>
      <c r="BV101" s="144"/>
      <c r="BW101" s="144"/>
      <c r="BX101" s="144"/>
      <c r="BY101" s="144"/>
      <c r="BZ101" s="144"/>
      <c r="CA101" s="144"/>
      <c r="CB101" s="144"/>
      <c r="CC101" s="144"/>
      <c r="CD101" s="144"/>
      <c r="CE101" s="144"/>
      <c r="CF101" s="144"/>
      <c r="CG101" s="144"/>
      <c r="CH101" s="144"/>
      <c r="CI101" s="144"/>
      <c r="CJ101" s="144"/>
      <c r="CK101" s="144"/>
      <c r="CL101" s="144"/>
      <c r="CM101" s="144"/>
      <c r="CN101" s="144"/>
      <c r="CO101" s="144"/>
      <c r="CP101" s="144"/>
      <c r="CQ101" s="144"/>
      <c r="CR101" s="144"/>
      <c r="CS101" s="144"/>
      <c r="CT101" s="144"/>
      <c r="CU101" s="144"/>
      <c r="CV101" s="144"/>
      <c r="CW101" s="144"/>
      <c r="CX101" s="145"/>
      <c r="CY101" s="139"/>
      <c r="CZ101" s="127">
        <f t="shared" si="2"/>
        <v>0</v>
      </c>
      <c r="DA101" s="129">
        <f t="shared" si="3"/>
        <v>0</v>
      </c>
      <c r="DB101" s="129">
        <f t="shared" si="4"/>
        <v>0</v>
      </c>
      <c r="DC101" s="129">
        <f t="shared" si="5"/>
        <v>0</v>
      </c>
      <c r="DD101" s="129">
        <f t="shared" si="6"/>
        <v>0</v>
      </c>
      <c r="DE101" s="129">
        <f t="shared" si="7"/>
        <v>0</v>
      </c>
      <c r="DF101" s="129">
        <f t="shared" si="8"/>
        <v>0</v>
      </c>
      <c r="DG101" s="129">
        <f t="shared" si="9"/>
        <v>0</v>
      </c>
      <c r="DH101" s="129">
        <f t="shared" si="10"/>
        <v>0</v>
      </c>
      <c r="DI101" s="139"/>
    </row>
    <row r="102" ht="22.5" customHeight="1">
      <c r="A102" s="140" t="str">
        <f t="shared" si="1"/>
        <v>|</v>
      </c>
      <c r="B102" s="141"/>
      <c r="C102" s="142"/>
      <c r="D102" s="143"/>
      <c r="E102" s="143"/>
      <c r="F102" s="143"/>
      <c r="G102" s="144"/>
      <c r="H102" s="144"/>
      <c r="I102" s="144"/>
      <c r="J102" s="145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  <c r="AD102" s="144"/>
      <c r="AE102" s="144"/>
      <c r="AF102" s="144"/>
      <c r="AG102" s="144"/>
      <c r="AH102" s="144"/>
      <c r="AI102" s="144"/>
      <c r="AJ102" s="144"/>
      <c r="AK102" s="144"/>
      <c r="AL102" s="144"/>
      <c r="AM102" s="144"/>
      <c r="AN102" s="144"/>
      <c r="AO102" s="144"/>
      <c r="AP102" s="144"/>
      <c r="AQ102" s="144"/>
      <c r="AR102" s="144"/>
      <c r="AS102" s="144"/>
      <c r="AT102" s="144"/>
      <c r="AU102" s="144"/>
      <c r="AV102" s="144"/>
      <c r="AW102" s="144"/>
      <c r="AX102" s="144"/>
      <c r="AY102" s="144"/>
      <c r="AZ102" s="144"/>
      <c r="BA102" s="144"/>
      <c r="BB102" s="144"/>
      <c r="BC102" s="144"/>
      <c r="BD102" s="144"/>
      <c r="BE102" s="144"/>
      <c r="BF102" s="144"/>
      <c r="BG102" s="144"/>
      <c r="BH102" s="144"/>
      <c r="BI102" s="144"/>
      <c r="BJ102" s="144"/>
      <c r="BK102" s="144"/>
      <c r="BL102" s="144"/>
      <c r="BM102" s="144"/>
      <c r="BN102" s="144"/>
      <c r="BO102" s="144"/>
      <c r="BP102" s="144"/>
      <c r="BQ102" s="144"/>
      <c r="BR102" s="144"/>
      <c r="BS102" s="144"/>
      <c r="BT102" s="144"/>
      <c r="BU102" s="144"/>
      <c r="BV102" s="144"/>
      <c r="BW102" s="144"/>
      <c r="BX102" s="144"/>
      <c r="BY102" s="144"/>
      <c r="BZ102" s="144"/>
      <c r="CA102" s="144"/>
      <c r="CB102" s="144"/>
      <c r="CC102" s="144"/>
      <c r="CD102" s="144"/>
      <c r="CE102" s="144"/>
      <c r="CF102" s="144"/>
      <c r="CG102" s="144"/>
      <c r="CH102" s="144"/>
      <c r="CI102" s="144"/>
      <c r="CJ102" s="144"/>
      <c r="CK102" s="144"/>
      <c r="CL102" s="144"/>
      <c r="CM102" s="144"/>
      <c r="CN102" s="144"/>
      <c r="CO102" s="144"/>
      <c r="CP102" s="144"/>
      <c r="CQ102" s="144"/>
      <c r="CR102" s="144"/>
      <c r="CS102" s="144"/>
      <c r="CT102" s="144"/>
      <c r="CU102" s="144"/>
      <c r="CV102" s="144"/>
      <c r="CW102" s="144"/>
      <c r="CX102" s="145"/>
      <c r="CY102" s="139"/>
      <c r="CZ102" s="127">
        <f t="shared" si="2"/>
        <v>0</v>
      </c>
      <c r="DA102" s="129">
        <f t="shared" si="3"/>
        <v>0</v>
      </c>
      <c r="DB102" s="129">
        <f t="shared" si="4"/>
        <v>0</v>
      </c>
      <c r="DC102" s="129">
        <f t="shared" si="5"/>
        <v>0</v>
      </c>
      <c r="DD102" s="129">
        <f t="shared" si="6"/>
        <v>0</v>
      </c>
      <c r="DE102" s="129">
        <f t="shared" si="7"/>
        <v>0</v>
      </c>
      <c r="DF102" s="129">
        <f t="shared" si="8"/>
        <v>0</v>
      </c>
      <c r="DG102" s="129">
        <f t="shared" si="9"/>
        <v>0</v>
      </c>
      <c r="DH102" s="129">
        <f t="shared" si="10"/>
        <v>0</v>
      </c>
      <c r="DI102" s="139"/>
    </row>
    <row r="103" ht="22.5" customHeight="1">
      <c r="A103" s="140" t="str">
        <f t="shared" si="1"/>
        <v>|</v>
      </c>
      <c r="B103" s="141"/>
      <c r="C103" s="142"/>
      <c r="D103" s="143"/>
      <c r="E103" s="143"/>
      <c r="F103" s="143"/>
      <c r="G103" s="144"/>
      <c r="H103" s="144"/>
      <c r="I103" s="144"/>
      <c r="J103" s="145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  <c r="AD103" s="144"/>
      <c r="AE103" s="144"/>
      <c r="AF103" s="144"/>
      <c r="AG103" s="144"/>
      <c r="AH103" s="144"/>
      <c r="AI103" s="144"/>
      <c r="AJ103" s="144"/>
      <c r="AK103" s="144"/>
      <c r="AL103" s="144"/>
      <c r="AM103" s="144"/>
      <c r="AN103" s="144"/>
      <c r="AO103" s="144"/>
      <c r="AP103" s="144"/>
      <c r="AQ103" s="144"/>
      <c r="AR103" s="144"/>
      <c r="AS103" s="144"/>
      <c r="AT103" s="144"/>
      <c r="AU103" s="144"/>
      <c r="AV103" s="144"/>
      <c r="AW103" s="144"/>
      <c r="AX103" s="144"/>
      <c r="AY103" s="144"/>
      <c r="AZ103" s="144"/>
      <c r="BA103" s="144"/>
      <c r="BB103" s="144"/>
      <c r="BC103" s="144"/>
      <c r="BD103" s="144"/>
      <c r="BE103" s="144"/>
      <c r="BF103" s="144"/>
      <c r="BG103" s="144"/>
      <c r="BH103" s="144"/>
      <c r="BI103" s="144"/>
      <c r="BJ103" s="144"/>
      <c r="BK103" s="144"/>
      <c r="BL103" s="144"/>
      <c r="BM103" s="144"/>
      <c r="BN103" s="144"/>
      <c r="BO103" s="144"/>
      <c r="BP103" s="144"/>
      <c r="BQ103" s="144"/>
      <c r="BR103" s="144"/>
      <c r="BS103" s="144"/>
      <c r="BT103" s="144"/>
      <c r="BU103" s="144"/>
      <c r="BV103" s="144"/>
      <c r="BW103" s="144"/>
      <c r="BX103" s="144"/>
      <c r="BY103" s="144"/>
      <c r="BZ103" s="144"/>
      <c r="CA103" s="144"/>
      <c r="CB103" s="144"/>
      <c r="CC103" s="144"/>
      <c r="CD103" s="144"/>
      <c r="CE103" s="144"/>
      <c r="CF103" s="144"/>
      <c r="CG103" s="144"/>
      <c r="CH103" s="144"/>
      <c r="CI103" s="144"/>
      <c r="CJ103" s="144"/>
      <c r="CK103" s="144"/>
      <c r="CL103" s="144"/>
      <c r="CM103" s="144"/>
      <c r="CN103" s="144"/>
      <c r="CO103" s="144"/>
      <c r="CP103" s="144"/>
      <c r="CQ103" s="144"/>
      <c r="CR103" s="144"/>
      <c r="CS103" s="144"/>
      <c r="CT103" s="144"/>
      <c r="CU103" s="144"/>
      <c r="CV103" s="144"/>
      <c r="CW103" s="144"/>
      <c r="CX103" s="145"/>
      <c r="CY103" s="139"/>
      <c r="CZ103" s="127">
        <f t="shared" si="2"/>
        <v>0</v>
      </c>
      <c r="DA103" s="129">
        <f t="shared" si="3"/>
        <v>0</v>
      </c>
      <c r="DB103" s="129">
        <f t="shared" si="4"/>
        <v>0</v>
      </c>
      <c r="DC103" s="129">
        <f t="shared" si="5"/>
        <v>0</v>
      </c>
      <c r="DD103" s="129">
        <f t="shared" si="6"/>
        <v>0</v>
      </c>
      <c r="DE103" s="129">
        <f t="shared" si="7"/>
        <v>0</v>
      </c>
      <c r="DF103" s="129">
        <f t="shared" si="8"/>
        <v>0</v>
      </c>
      <c r="DG103" s="129">
        <f t="shared" si="9"/>
        <v>0</v>
      </c>
      <c r="DH103" s="129">
        <f t="shared" si="10"/>
        <v>0</v>
      </c>
      <c r="DI103" s="139"/>
    </row>
    <row r="104" ht="22.5" customHeight="1">
      <c r="A104" s="140" t="str">
        <f t="shared" si="1"/>
        <v>|</v>
      </c>
      <c r="B104" s="141"/>
      <c r="C104" s="142"/>
      <c r="D104" s="143"/>
      <c r="E104" s="143"/>
      <c r="F104" s="143"/>
      <c r="G104" s="144"/>
      <c r="H104" s="144"/>
      <c r="I104" s="144"/>
      <c r="J104" s="145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  <c r="AD104" s="144"/>
      <c r="AE104" s="144"/>
      <c r="AF104" s="144"/>
      <c r="AG104" s="144"/>
      <c r="AH104" s="144"/>
      <c r="AI104" s="144"/>
      <c r="AJ104" s="144"/>
      <c r="AK104" s="144"/>
      <c r="AL104" s="144"/>
      <c r="AM104" s="144"/>
      <c r="AN104" s="144"/>
      <c r="AO104" s="144"/>
      <c r="AP104" s="144"/>
      <c r="AQ104" s="144"/>
      <c r="AR104" s="144"/>
      <c r="AS104" s="144"/>
      <c r="AT104" s="144"/>
      <c r="AU104" s="144"/>
      <c r="AV104" s="144"/>
      <c r="AW104" s="144"/>
      <c r="AX104" s="144"/>
      <c r="AY104" s="144"/>
      <c r="AZ104" s="144"/>
      <c r="BA104" s="144"/>
      <c r="BB104" s="144"/>
      <c r="BC104" s="144"/>
      <c r="BD104" s="144"/>
      <c r="BE104" s="144"/>
      <c r="BF104" s="144"/>
      <c r="BG104" s="144"/>
      <c r="BH104" s="144"/>
      <c r="BI104" s="144"/>
      <c r="BJ104" s="144"/>
      <c r="BK104" s="144"/>
      <c r="BL104" s="144"/>
      <c r="BM104" s="144"/>
      <c r="BN104" s="144"/>
      <c r="BO104" s="144"/>
      <c r="BP104" s="144"/>
      <c r="BQ104" s="144"/>
      <c r="BR104" s="144"/>
      <c r="BS104" s="144"/>
      <c r="BT104" s="144"/>
      <c r="BU104" s="144"/>
      <c r="BV104" s="144"/>
      <c r="BW104" s="144"/>
      <c r="BX104" s="144"/>
      <c r="BY104" s="144"/>
      <c r="BZ104" s="144"/>
      <c r="CA104" s="144"/>
      <c r="CB104" s="144"/>
      <c r="CC104" s="144"/>
      <c r="CD104" s="144"/>
      <c r="CE104" s="144"/>
      <c r="CF104" s="144"/>
      <c r="CG104" s="144"/>
      <c r="CH104" s="144"/>
      <c r="CI104" s="144"/>
      <c r="CJ104" s="144"/>
      <c r="CK104" s="144"/>
      <c r="CL104" s="144"/>
      <c r="CM104" s="144"/>
      <c r="CN104" s="144"/>
      <c r="CO104" s="144"/>
      <c r="CP104" s="144"/>
      <c r="CQ104" s="144"/>
      <c r="CR104" s="144"/>
      <c r="CS104" s="144"/>
      <c r="CT104" s="144"/>
      <c r="CU104" s="144"/>
      <c r="CV104" s="144"/>
      <c r="CW104" s="144"/>
      <c r="CX104" s="145"/>
      <c r="CY104" s="139"/>
      <c r="CZ104" s="127">
        <f t="shared" si="2"/>
        <v>0</v>
      </c>
      <c r="DA104" s="129">
        <f t="shared" si="3"/>
        <v>0</v>
      </c>
      <c r="DB104" s="129">
        <f t="shared" si="4"/>
        <v>0</v>
      </c>
      <c r="DC104" s="129">
        <f t="shared" si="5"/>
        <v>0</v>
      </c>
      <c r="DD104" s="129">
        <f t="shared" si="6"/>
        <v>0</v>
      </c>
      <c r="DE104" s="129">
        <f t="shared" si="7"/>
        <v>0</v>
      </c>
      <c r="DF104" s="129">
        <f t="shared" si="8"/>
        <v>0</v>
      </c>
      <c r="DG104" s="129">
        <f t="shared" si="9"/>
        <v>0</v>
      </c>
      <c r="DH104" s="129">
        <f t="shared" si="10"/>
        <v>0</v>
      </c>
      <c r="DI104" s="139"/>
    </row>
    <row r="105" ht="22.5" customHeight="1">
      <c r="A105" s="140" t="str">
        <f t="shared" si="1"/>
        <v>|</v>
      </c>
      <c r="B105" s="141"/>
      <c r="C105" s="142"/>
      <c r="D105" s="143"/>
      <c r="E105" s="143"/>
      <c r="F105" s="143"/>
      <c r="G105" s="144"/>
      <c r="H105" s="144"/>
      <c r="I105" s="144"/>
      <c r="J105" s="145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  <c r="AD105" s="144"/>
      <c r="AE105" s="144"/>
      <c r="AF105" s="144"/>
      <c r="AG105" s="144"/>
      <c r="AH105" s="144"/>
      <c r="AI105" s="144"/>
      <c r="AJ105" s="144"/>
      <c r="AK105" s="144"/>
      <c r="AL105" s="144"/>
      <c r="AM105" s="144"/>
      <c r="AN105" s="144"/>
      <c r="AO105" s="144"/>
      <c r="AP105" s="144"/>
      <c r="AQ105" s="144"/>
      <c r="AR105" s="144"/>
      <c r="AS105" s="144"/>
      <c r="AT105" s="144"/>
      <c r="AU105" s="144"/>
      <c r="AV105" s="144"/>
      <c r="AW105" s="144"/>
      <c r="AX105" s="144"/>
      <c r="AY105" s="144"/>
      <c r="AZ105" s="144"/>
      <c r="BA105" s="144"/>
      <c r="BB105" s="144"/>
      <c r="BC105" s="144"/>
      <c r="BD105" s="144"/>
      <c r="BE105" s="144"/>
      <c r="BF105" s="144"/>
      <c r="BG105" s="144"/>
      <c r="BH105" s="144"/>
      <c r="BI105" s="144"/>
      <c r="BJ105" s="144"/>
      <c r="BK105" s="144"/>
      <c r="BL105" s="144"/>
      <c r="BM105" s="144"/>
      <c r="BN105" s="144"/>
      <c r="BO105" s="144"/>
      <c r="BP105" s="144"/>
      <c r="BQ105" s="144"/>
      <c r="BR105" s="144"/>
      <c r="BS105" s="144"/>
      <c r="BT105" s="144"/>
      <c r="BU105" s="144"/>
      <c r="BV105" s="144"/>
      <c r="BW105" s="144"/>
      <c r="BX105" s="144"/>
      <c r="BY105" s="144"/>
      <c r="BZ105" s="144"/>
      <c r="CA105" s="144"/>
      <c r="CB105" s="144"/>
      <c r="CC105" s="144"/>
      <c r="CD105" s="144"/>
      <c r="CE105" s="144"/>
      <c r="CF105" s="144"/>
      <c r="CG105" s="144"/>
      <c r="CH105" s="144"/>
      <c r="CI105" s="144"/>
      <c r="CJ105" s="144"/>
      <c r="CK105" s="144"/>
      <c r="CL105" s="144"/>
      <c r="CM105" s="144"/>
      <c r="CN105" s="144"/>
      <c r="CO105" s="144"/>
      <c r="CP105" s="144"/>
      <c r="CQ105" s="144"/>
      <c r="CR105" s="144"/>
      <c r="CS105" s="144"/>
      <c r="CT105" s="144"/>
      <c r="CU105" s="144"/>
      <c r="CV105" s="144"/>
      <c r="CW105" s="144"/>
      <c r="CX105" s="145"/>
      <c r="CY105" s="139"/>
      <c r="CZ105" s="127">
        <f t="shared" si="2"/>
        <v>0</v>
      </c>
      <c r="DA105" s="129">
        <f t="shared" si="3"/>
        <v>0</v>
      </c>
      <c r="DB105" s="129">
        <f t="shared" si="4"/>
        <v>0</v>
      </c>
      <c r="DC105" s="129">
        <f t="shared" si="5"/>
        <v>0</v>
      </c>
      <c r="DD105" s="129">
        <f t="shared" si="6"/>
        <v>0</v>
      </c>
      <c r="DE105" s="129">
        <f t="shared" si="7"/>
        <v>0</v>
      </c>
      <c r="DF105" s="129">
        <f t="shared" si="8"/>
        <v>0</v>
      </c>
      <c r="DG105" s="129">
        <f t="shared" si="9"/>
        <v>0</v>
      </c>
      <c r="DH105" s="129">
        <f t="shared" si="10"/>
        <v>0</v>
      </c>
      <c r="DI105" s="139"/>
    </row>
    <row r="106" ht="22.5" customHeight="1">
      <c r="A106" s="140" t="str">
        <f t="shared" si="1"/>
        <v>|</v>
      </c>
      <c r="B106" s="141"/>
      <c r="C106" s="142"/>
      <c r="D106" s="143"/>
      <c r="E106" s="143"/>
      <c r="F106" s="143"/>
      <c r="G106" s="144"/>
      <c r="H106" s="144"/>
      <c r="I106" s="144"/>
      <c r="J106" s="145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144"/>
      <c r="AI106" s="144"/>
      <c r="AJ106" s="144"/>
      <c r="AK106" s="144"/>
      <c r="AL106" s="144"/>
      <c r="AM106" s="144"/>
      <c r="AN106" s="144"/>
      <c r="AO106" s="144"/>
      <c r="AP106" s="144"/>
      <c r="AQ106" s="144"/>
      <c r="AR106" s="144"/>
      <c r="AS106" s="144"/>
      <c r="AT106" s="144"/>
      <c r="AU106" s="144"/>
      <c r="AV106" s="144"/>
      <c r="AW106" s="144"/>
      <c r="AX106" s="144"/>
      <c r="AY106" s="144"/>
      <c r="AZ106" s="144"/>
      <c r="BA106" s="144"/>
      <c r="BB106" s="144"/>
      <c r="BC106" s="144"/>
      <c r="BD106" s="144"/>
      <c r="BE106" s="144"/>
      <c r="BF106" s="144"/>
      <c r="BG106" s="144"/>
      <c r="BH106" s="144"/>
      <c r="BI106" s="144"/>
      <c r="BJ106" s="144"/>
      <c r="BK106" s="144"/>
      <c r="BL106" s="144"/>
      <c r="BM106" s="144"/>
      <c r="BN106" s="144"/>
      <c r="BO106" s="144"/>
      <c r="BP106" s="144"/>
      <c r="BQ106" s="144"/>
      <c r="BR106" s="144"/>
      <c r="BS106" s="144"/>
      <c r="BT106" s="144"/>
      <c r="BU106" s="144"/>
      <c r="BV106" s="144"/>
      <c r="BW106" s="144"/>
      <c r="BX106" s="144"/>
      <c r="BY106" s="144"/>
      <c r="BZ106" s="144"/>
      <c r="CA106" s="144"/>
      <c r="CB106" s="144"/>
      <c r="CC106" s="144"/>
      <c r="CD106" s="144"/>
      <c r="CE106" s="144"/>
      <c r="CF106" s="144"/>
      <c r="CG106" s="144"/>
      <c r="CH106" s="144"/>
      <c r="CI106" s="144"/>
      <c r="CJ106" s="144"/>
      <c r="CK106" s="144"/>
      <c r="CL106" s="144"/>
      <c r="CM106" s="144"/>
      <c r="CN106" s="144"/>
      <c r="CO106" s="144"/>
      <c r="CP106" s="144"/>
      <c r="CQ106" s="144"/>
      <c r="CR106" s="144"/>
      <c r="CS106" s="144"/>
      <c r="CT106" s="144"/>
      <c r="CU106" s="144"/>
      <c r="CV106" s="144"/>
      <c r="CW106" s="144"/>
      <c r="CX106" s="145"/>
      <c r="CY106" s="139"/>
      <c r="CZ106" s="127">
        <f t="shared" si="2"/>
        <v>0</v>
      </c>
      <c r="DA106" s="129">
        <f t="shared" si="3"/>
        <v>0</v>
      </c>
      <c r="DB106" s="129">
        <f t="shared" si="4"/>
        <v>0</v>
      </c>
      <c r="DC106" s="129">
        <f t="shared" si="5"/>
        <v>0</v>
      </c>
      <c r="DD106" s="129">
        <f t="shared" si="6"/>
        <v>0</v>
      </c>
      <c r="DE106" s="129">
        <f t="shared" si="7"/>
        <v>0</v>
      </c>
      <c r="DF106" s="129">
        <f t="shared" si="8"/>
        <v>0</v>
      </c>
      <c r="DG106" s="129">
        <f t="shared" si="9"/>
        <v>0</v>
      </c>
      <c r="DH106" s="129">
        <f t="shared" si="10"/>
        <v>0</v>
      </c>
      <c r="DI106" s="139"/>
    </row>
    <row r="107" ht="22.5" customHeight="1">
      <c r="A107" s="140" t="str">
        <f t="shared" si="1"/>
        <v>|</v>
      </c>
      <c r="B107" s="141"/>
      <c r="C107" s="142"/>
      <c r="D107" s="143"/>
      <c r="E107" s="143"/>
      <c r="F107" s="143"/>
      <c r="G107" s="144"/>
      <c r="H107" s="144"/>
      <c r="I107" s="144"/>
      <c r="J107" s="145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  <c r="AD107" s="144"/>
      <c r="AE107" s="144"/>
      <c r="AF107" s="144"/>
      <c r="AG107" s="144"/>
      <c r="AH107" s="144"/>
      <c r="AI107" s="144"/>
      <c r="AJ107" s="144"/>
      <c r="AK107" s="144"/>
      <c r="AL107" s="144"/>
      <c r="AM107" s="144"/>
      <c r="AN107" s="144"/>
      <c r="AO107" s="144"/>
      <c r="AP107" s="144"/>
      <c r="AQ107" s="144"/>
      <c r="AR107" s="144"/>
      <c r="AS107" s="144"/>
      <c r="AT107" s="144"/>
      <c r="AU107" s="144"/>
      <c r="AV107" s="144"/>
      <c r="AW107" s="144"/>
      <c r="AX107" s="144"/>
      <c r="AY107" s="144"/>
      <c r="AZ107" s="144"/>
      <c r="BA107" s="144"/>
      <c r="BB107" s="144"/>
      <c r="BC107" s="144"/>
      <c r="BD107" s="144"/>
      <c r="BE107" s="144"/>
      <c r="BF107" s="144"/>
      <c r="BG107" s="144"/>
      <c r="BH107" s="144"/>
      <c r="BI107" s="144"/>
      <c r="BJ107" s="144"/>
      <c r="BK107" s="144"/>
      <c r="BL107" s="144"/>
      <c r="BM107" s="144"/>
      <c r="BN107" s="144"/>
      <c r="BO107" s="144"/>
      <c r="BP107" s="144"/>
      <c r="BQ107" s="144"/>
      <c r="BR107" s="144"/>
      <c r="BS107" s="144"/>
      <c r="BT107" s="144"/>
      <c r="BU107" s="144"/>
      <c r="BV107" s="144"/>
      <c r="BW107" s="144"/>
      <c r="BX107" s="144"/>
      <c r="BY107" s="144"/>
      <c r="BZ107" s="144"/>
      <c r="CA107" s="144"/>
      <c r="CB107" s="144"/>
      <c r="CC107" s="144"/>
      <c r="CD107" s="144"/>
      <c r="CE107" s="144"/>
      <c r="CF107" s="144"/>
      <c r="CG107" s="144"/>
      <c r="CH107" s="144"/>
      <c r="CI107" s="144"/>
      <c r="CJ107" s="144"/>
      <c r="CK107" s="144"/>
      <c r="CL107" s="144"/>
      <c r="CM107" s="144"/>
      <c r="CN107" s="144"/>
      <c r="CO107" s="144"/>
      <c r="CP107" s="144"/>
      <c r="CQ107" s="144"/>
      <c r="CR107" s="144"/>
      <c r="CS107" s="144"/>
      <c r="CT107" s="144"/>
      <c r="CU107" s="144"/>
      <c r="CV107" s="144"/>
      <c r="CW107" s="144"/>
      <c r="CX107" s="145"/>
      <c r="CY107" s="139"/>
      <c r="CZ107" s="127">
        <f t="shared" si="2"/>
        <v>0</v>
      </c>
      <c r="DA107" s="129">
        <f t="shared" si="3"/>
        <v>0</v>
      </c>
      <c r="DB107" s="129">
        <f t="shared" si="4"/>
        <v>0</v>
      </c>
      <c r="DC107" s="129">
        <f t="shared" si="5"/>
        <v>0</v>
      </c>
      <c r="DD107" s="129">
        <f t="shared" si="6"/>
        <v>0</v>
      </c>
      <c r="DE107" s="129">
        <f t="shared" si="7"/>
        <v>0</v>
      </c>
      <c r="DF107" s="129">
        <f t="shared" si="8"/>
        <v>0</v>
      </c>
      <c r="DG107" s="129">
        <f t="shared" si="9"/>
        <v>0</v>
      </c>
      <c r="DH107" s="129">
        <f t="shared" si="10"/>
        <v>0</v>
      </c>
      <c r="DI107" s="139"/>
    </row>
    <row r="108" ht="22.5" customHeight="1">
      <c r="A108" s="140" t="str">
        <f t="shared" si="1"/>
        <v>|</v>
      </c>
      <c r="B108" s="141"/>
      <c r="C108" s="142"/>
      <c r="D108" s="143"/>
      <c r="E108" s="143"/>
      <c r="F108" s="143"/>
      <c r="G108" s="144"/>
      <c r="H108" s="144"/>
      <c r="I108" s="144"/>
      <c r="J108" s="145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  <c r="AD108" s="144"/>
      <c r="AE108" s="144"/>
      <c r="AF108" s="144"/>
      <c r="AG108" s="144"/>
      <c r="AH108" s="144"/>
      <c r="AI108" s="144"/>
      <c r="AJ108" s="144"/>
      <c r="AK108" s="144"/>
      <c r="AL108" s="144"/>
      <c r="AM108" s="144"/>
      <c r="AN108" s="144"/>
      <c r="AO108" s="144"/>
      <c r="AP108" s="144"/>
      <c r="AQ108" s="144"/>
      <c r="AR108" s="144"/>
      <c r="AS108" s="144"/>
      <c r="AT108" s="144"/>
      <c r="AU108" s="144"/>
      <c r="AV108" s="144"/>
      <c r="AW108" s="144"/>
      <c r="AX108" s="144"/>
      <c r="AY108" s="144"/>
      <c r="AZ108" s="144"/>
      <c r="BA108" s="144"/>
      <c r="BB108" s="144"/>
      <c r="BC108" s="144"/>
      <c r="BD108" s="144"/>
      <c r="BE108" s="144"/>
      <c r="BF108" s="144"/>
      <c r="BG108" s="144"/>
      <c r="BH108" s="144"/>
      <c r="BI108" s="144"/>
      <c r="BJ108" s="144"/>
      <c r="BK108" s="144"/>
      <c r="BL108" s="144"/>
      <c r="BM108" s="144"/>
      <c r="BN108" s="144"/>
      <c r="BO108" s="144"/>
      <c r="BP108" s="144"/>
      <c r="BQ108" s="144"/>
      <c r="BR108" s="144"/>
      <c r="BS108" s="144"/>
      <c r="BT108" s="144"/>
      <c r="BU108" s="144"/>
      <c r="BV108" s="144"/>
      <c r="BW108" s="144"/>
      <c r="BX108" s="144"/>
      <c r="BY108" s="144"/>
      <c r="BZ108" s="144"/>
      <c r="CA108" s="144"/>
      <c r="CB108" s="144"/>
      <c r="CC108" s="144"/>
      <c r="CD108" s="144"/>
      <c r="CE108" s="144"/>
      <c r="CF108" s="144"/>
      <c r="CG108" s="144"/>
      <c r="CH108" s="144"/>
      <c r="CI108" s="144"/>
      <c r="CJ108" s="144"/>
      <c r="CK108" s="144"/>
      <c r="CL108" s="144"/>
      <c r="CM108" s="144"/>
      <c r="CN108" s="144"/>
      <c r="CO108" s="144"/>
      <c r="CP108" s="144"/>
      <c r="CQ108" s="144"/>
      <c r="CR108" s="144"/>
      <c r="CS108" s="144"/>
      <c r="CT108" s="144"/>
      <c r="CU108" s="144"/>
      <c r="CV108" s="144"/>
      <c r="CW108" s="144"/>
      <c r="CX108" s="145"/>
      <c r="CY108" s="139"/>
      <c r="CZ108" s="127">
        <f t="shared" si="2"/>
        <v>0</v>
      </c>
      <c r="DA108" s="129">
        <f t="shared" si="3"/>
        <v>0</v>
      </c>
      <c r="DB108" s="129">
        <f t="shared" si="4"/>
        <v>0</v>
      </c>
      <c r="DC108" s="129">
        <f t="shared" si="5"/>
        <v>0</v>
      </c>
      <c r="DD108" s="129">
        <f t="shared" si="6"/>
        <v>0</v>
      </c>
      <c r="DE108" s="129">
        <f t="shared" si="7"/>
        <v>0</v>
      </c>
      <c r="DF108" s="129">
        <f t="shared" si="8"/>
        <v>0</v>
      </c>
      <c r="DG108" s="129">
        <f t="shared" si="9"/>
        <v>0</v>
      </c>
      <c r="DH108" s="129">
        <f t="shared" si="10"/>
        <v>0</v>
      </c>
      <c r="DI108" s="139"/>
    </row>
    <row r="109" ht="22.5" customHeight="1">
      <c r="A109" s="140" t="str">
        <f t="shared" si="1"/>
        <v>|</v>
      </c>
      <c r="B109" s="141"/>
      <c r="C109" s="142"/>
      <c r="D109" s="143"/>
      <c r="E109" s="143"/>
      <c r="F109" s="143"/>
      <c r="G109" s="144"/>
      <c r="H109" s="144"/>
      <c r="I109" s="144"/>
      <c r="J109" s="145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  <c r="AD109" s="144"/>
      <c r="AE109" s="144"/>
      <c r="AF109" s="144"/>
      <c r="AG109" s="144"/>
      <c r="AH109" s="144"/>
      <c r="AI109" s="144"/>
      <c r="AJ109" s="144"/>
      <c r="AK109" s="144"/>
      <c r="AL109" s="144"/>
      <c r="AM109" s="144"/>
      <c r="AN109" s="144"/>
      <c r="AO109" s="144"/>
      <c r="AP109" s="144"/>
      <c r="AQ109" s="144"/>
      <c r="AR109" s="144"/>
      <c r="AS109" s="144"/>
      <c r="AT109" s="144"/>
      <c r="AU109" s="144"/>
      <c r="AV109" s="144"/>
      <c r="AW109" s="144"/>
      <c r="AX109" s="144"/>
      <c r="AY109" s="144"/>
      <c r="AZ109" s="144"/>
      <c r="BA109" s="144"/>
      <c r="BB109" s="144"/>
      <c r="BC109" s="144"/>
      <c r="BD109" s="144"/>
      <c r="BE109" s="144"/>
      <c r="BF109" s="144"/>
      <c r="BG109" s="144"/>
      <c r="BH109" s="144"/>
      <c r="BI109" s="144"/>
      <c r="BJ109" s="144"/>
      <c r="BK109" s="144"/>
      <c r="BL109" s="144"/>
      <c r="BM109" s="144"/>
      <c r="BN109" s="144"/>
      <c r="BO109" s="144"/>
      <c r="BP109" s="144"/>
      <c r="BQ109" s="144"/>
      <c r="BR109" s="144"/>
      <c r="BS109" s="144"/>
      <c r="BT109" s="144"/>
      <c r="BU109" s="144"/>
      <c r="BV109" s="144"/>
      <c r="BW109" s="144"/>
      <c r="BX109" s="144"/>
      <c r="BY109" s="144"/>
      <c r="BZ109" s="144"/>
      <c r="CA109" s="144"/>
      <c r="CB109" s="144"/>
      <c r="CC109" s="144"/>
      <c r="CD109" s="144"/>
      <c r="CE109" s="144"/>
      <c r="CF109" s="144"/>
      <c r="CG109" s="144"/>
      <c r="CH109" s="144"/>
      <c r="CI109" s="144"/>
      <c r="CJ109" s="144"/>
      <c r="CK109" s="144"/>
      <c r="CL109" s="144"/>
      <c r="CM109" s="144"/>
      <c r="CN109" s="144"/>
      <c r="CO109" s="144"/>
      <c r="CP109" s="144"/>
      <c r="CQ109" s="144"/>
      <c r="CR109" s="144"/>
      <c r="CS109" s="144"/>
      <c r="CT109" s="144"/>
      <c r="CU109" s="144"/>
      <c r="CV109" s="144"/>
      <c r="CW109" s="144"/>
      <c r="CX109" s="145"/>
      <c r="CY109" s="139"/>
      <c r="CZ109" s="127">
        <f t="shared" si="2"/>
        <v>0</v>
      </c>
      <c r="DA109" s="129">
        <f t="shared" si="3"/>
        <v>0</v>
      </c>
      <c r="DB109" s="129">
        <f t="shared" si="4"/>
        <v>0</v>
      </c>
      <c r="DC109" s="129">
        <f t="shared" si="5"/>
        <v>0</v>
      </c>
      <c r="DD109" s="129">
        <f t="shared" si="6"/>
        <v>0</v>
      </c>
      <c r="DE109" s="129">
        <f t="shared" si="7"/>
        <v>0</v>
      </c>
      <c r="DF109" s="129">
        <f t="shared" si="8"/>
        <v>0</v>
      </c>
      <c r="DG109" s="129">
        <f t="shared" si="9"/>
        <v>0</v>
      </c>
      <c r="DH109" s="129">
        <f t="shared" si="10"/>
        <v>0</v>
      </c>
      <c r="DI109" s="139"/>
    </row>
    <row r="110" ht="22.5" customHeight="1">
      <c r="A110" s="140" t="str">
        <f t="shared" si="1"/>
        <v>|</v>
      </c>
      <c r="B110" s="141"/>
      <c r="C110" s="142"/>
      <c r="D110" s="143"/>
      <c r="E110" s="143"/>
      <c r="F110" s="143"/>
      <c r="G110" s="144"/>
      <c r="H110" s="144"/>
      <c r="I110" s="144"/>
      <c r="J110" s="145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  <c r="AD110" s="144"/>
      <c r="AE110" s="144"/>
      <c r="AF110" s="144"/>
      <c r="AG110" s="144"/>
      <c r="AH110" s="144"/>
      <c r="AI110" s="144"/>
      <c r="AJ110" s="144"/>
      <c r="AK110" s="144"/>
      <c r="AL110" s="144"/>
      <c r="AM110" s="144"/>
      <c r="AN110" s="144"/>
      <c r="AO110" s="144"/>
      <c r="AP110" s="144"/>
      <c r="AQ110" s="144"/>
      <c r="AR110" s="144"/>
      <c r="AS110" s="144"/>
      <c r="AT110" s="144"/>
      <c r="AU110" s="144"/>
      <c r="AV110" s="144"/>
      <c r="AW110" s="144"/>
      <c r="AX110" s="144"/>
      <c r="AY110" s="144"/>
      <c r="AZ110" s="144"/>
      <c r="BA110" s="144"/>
      <c r="BB110" s="144"/>
      <c r="BC110" s="144"/>
      <c r="BD110" s="144"/>
      <c r="BE110" s="144"/>
      <c r="BF110" s="144"/>
      <c r="BG110" s="144"/>
      <c r="BH110" s="144"/>
      <c r="BI110" s="144"/>
      <c r="BJ110" s="144"/>
      <c r="BK110" s="144"/>
      <c r="BL110" s="144"/>
      <c r="BM110" s="144"/>
      <c r="BN110" s="144"/>
      <c r="BO110" s="144"/>
      <c r="BP110" s="144"/>
      <c r="BQ110" s="144"/>
      <c r="BR110" s="144"/>
      <c r="BS110" s="144"/>
      <c r="BT110" s="144"/>
      <c r="BU110" s="144"/>
      <c r="BV110" s="144"/>
      <c r="BW110" s="144"/>
      <c r="BX110" s="144"/>
      <c r="BY110" s="144"/>
      <c r="BZ110" s="144"/>
      <c r="CA110" s="144"/>
      <c r="CB110" s="144"/>
      <c r="CC110" s="144"/>
      <c r="CD110" s="144"/>
      <c r="CE110" s="144"/>
      <c r="CF110" s="144"/>
      <c r="CG110" s="144"/>
      <c r="CH110" s="144"/>
      <c r="CI110" s="144"/>
      <c r="CJ110" s="144"/>
      <c r="CK110" s="144"/>
      <c r="CL110" s="144"/>
      <c r="CM110" s="144"/>
      <c r="CN110" s="144"/>
      <c r="CO110" s="144"/>
      <c r="CP110" s="144"/>
      <c r="CQ110" s="144"/>
      <c r="CR110" s="144"/>
      <c r="CS110" s="144"/>
      <c r="CT110" s="144"/>
      <c r="CU110" s="144"/>
      <c r="CV110" s="144"/>
      <c r="CW110" s="144"/>
      <c r="CX110" s="145"/>
      <c r="CY110" s="139"/>
      <c r="CZ110" s="127">
        <f t="shared" si="2"/>
        <v>0</v>
      </c>
      <c r="DA110" s="129">
        <f t="shared" si="3"/>
        <v>0</v>
      </c>
      <c r="DB110" s="129">
        <f t="shared" si="4"/>
        <v>0</v>
      </c>
      <c r="DC110" s="129">
        <f t="shared" si="5"/>
        <v>0</v>
      </c>
      <c r="DD110" s="129">
        <f t="shared" si="6"/>
        <v>0</v>
      </c>
      <c r="DE110" s="129">
        <f t="shared" si="7"/>
        <v>0</v>
      </c>
      <c r="DF110" s="129">
        <f t="shared" si="8"/>
        <v>0</v>
      </c>
      <c r="DG110" s="129">
        <f t="shared" si="9"/>
        <v>0</v>
      </c>
      <c r="DH110" s="129">
        <f t="shared" si="10"/>
        <v>0</v>
      </c>
      <c r="DI110" s="139"/>
    </row>
    <row r="111" ht="22.5" customHeight="1">
      <c r="A111" s="140" t="str">
        <f t="shared" si="1"/>
        <v>|</v>
      </c>
      <c r="B111" s="141"/>
      <c r="C111" s="142"/>
      <c r="D111" s="143"/>
      <c r="E111" s="143"/>
      <c r="F111" s="143"/>
      <c r="G111" s="144"/>
      <c r="H111" s="144"/>
      <c r="I111" s="144"/>
      <c r="J111" s="145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  <c r="AD111" s="144"/>
      <c r="AE111" s="144"/>
      <c r="AF111" s="144"/>
      <c r="AG111" s="144"/>
      <c r="AH111" s="144"/>
      <c r="AI111" s="144"/>
      <c r="AJ111" s="144"/>
      <c r="AK111" s="144"/>
      <c r="AL111" s="144"/>
      <c r="AM111" s="144"/>
      <c r="AN111" s="144"/>
      <c r="AO111" s="144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4"/>
      <c r="AZ111" s="144"/>
      <c r="BA111" s="144"/>
      <c r="BB111" s="144"/>
      <c r="BC111" s="144"/>
      <c r="BD111" s="144"/>
      <c r="BE111" s="144"/>
      <c r="BF111" s="144"/>
      <c r="BG111" s="144"/>
      <c r="BH111" s="144"/>
      <c r="BI111" s="144"/>
      <c r="BJ111" s="144"/>
      <c r="BK111" s="144"/>
      <c r="BL111" s="144"/>
      <c r="BM111" s="144"/>
      <c r="BN111" s="144"/>
      <c r="BO111" s="144"/>
      <c r="BP111" s="144"/>
      <c r="BQ111" s="144"/>
      <c r="BR111" s="144"/>
      <c r="BS111" s="144"/>
      <c r="BT111" s="144"/>
      <c r="BU111" s="144"/>
      <c r="BV111" s="144"/>
      <c r="BW111" s="144"/>
      <c r="BX111" s="144"/>
      <c r="BY111" s="144"/>
      <c r="BZ111" s="144"/>
      <c r="CA111" s="144"/>
      <c r="CB111" s="144"/>
      <c r="CC111" s="144"/>
      <c r="CD111" s="144"/>
      <c r="CE111" s="144"/>
      <c r="CF111" s="144"/>
      <c r="CG111" s="144"/>
      <c r="CH111" s="144"/>
      <c r="CI111" s="144"/>
      <c r="CJ111" s="144"/>
      <c r="CK111" s="144"/>
      <c r="CL111" s="144"/>
      <c r="CM111" s="144"/>
      <c r="CN111" s="144"/>
      <c r="CO111" s="144"/>
      <c r="CP111" s="144"/>
      <c r="CQ111" s="144"/>
      <c r="CR111" s="144"/>
      <c r="CS111" s="144"/>
      <c r="CT111" s="144"/>
      <c r="CU111" s="144"/>
      <c r="CV111" s="144"/>
      <c r="CW111" s="144"/>
      <c r="CX111" s="145"/>
      <c r="CY111" s="139"/>
      <c r="CZ111" s="127">
        <f t="shared" si="2"/>
        <v>0</v>
      </c>
      <c r="DA111" s="129">
        <f t="shared" si="3"/>
        <v>0</v>
      </c>
      <c r="DB111" s="129">
        <f t="shared" si="4"/>
        <v>0</v>
      </c>
      <c r="DC111" s="129">
        <f t="shared" si="5"/>
        <v>0</v>
      </c>
      <c r="DD111" s="129">
        <f t="shared" si="6"/>
        <v>0</v>
      </c>
      <c r="DE111" s="129">
        <f t="shared" si="7"/>
        <v>0</v>
      </c>
      <c r="DF111" s="129">
        <f t="shared" si="8"/>
        <v>0</v>
      </c>
      <c r="DG111" s="129">
        <f t="shared" si="9"/>
        <v>0</v>
      </c>
      <c r="DH111" s="129">
        <f t="shared" si="10"/>
        <v>0</v>
      </c>
      <c r="DI111" s="139"/>
    </row>
    <row r="112" ht="22.5" customHeight="1">
      <c r="A112" s="140" t="str">
        <f t="shared" si="1"/>
        <v>|</v>
      </c>
      <c r="B112" s="141"/>
      <c r="C112" s="142"/>
      <c r="D112" s="143"/>
      <c r="E112" s="143"/>
      <c r="F112" s="143"/>
      <c r="G112" s="144"/>
      <c r="H112" s="144"/>
      <c r="I112" s="144"/>
      <c r="J112" s="145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  <c r="AD112" s="144"/>
      <c r="AE112" s="144"/>
      <c r="AF112" s="144"/>
      <c r="AG112" s="144"/>
      <c r="AH112" s="144"/>
      <c r="AI112" s="144"/>
      <c r="AJ112" s="144"/>
      <c r="AK112" s="144"/>
      <c r="AL112" s="144"/>
      <c r="AM112" s="144"/>
      <c r="AN112" s="144"/>
      <c r="AO112" s="144"/>
      <c r="AP112" s="144"/>
      <c r="AQ112" s="144"/>
      <c r="AR112" s="144"/>
      <c r="AS112" s="144"/>
      <c r="AT112" s="144"/>
      <c r="AU112" s="144"/>
      <c r="AV112" s="144"/>
      <c r="AW112" s="144"/>
      <c r="AX112" s="144"/>
      <c r="AY112" s="144"/>
      <c r="AZ112" s="144"/>
      <c r="BA112" s="144"/>
      <c r="BB112" s="144"/>
      <c r="BC112" s="144"/>
      <c r="BD112" s="144"/>
      <c r="BE112" s="144"/>
      <c r="BF112" s="144"/>
      <c r="BG112" s="144"/>
      <c r="BH112" s="144"/>
      <c r="BI112" s="144"/>
      <c r="BJ112" s="144"/>
      <c r="BK112" s="144"/>
      <c r="BL112" s="144"/>
      <c r="BM112" s="144"/>
      <c r="BN112" s="144"/>
      <c r="BO112" s="144"/>
      <c r="BP112" s="144"/>
      <c r="BQ112" s="144"/>
      <c r="BR112" s="144"/>
      <c r="BS112" s="144"/>
      <c r="BT112" s="144"/>
      <c r="BU112" s="144"/>
      <c r="BV112" s="144"/>
      <c r="BW112" s="144"/>
      <c r="BX112" s="144"/>
      <c r="BY112" s="144"/>
      <c r="BZ112" s="144"/>
      <c r="CA112" s="144"/>
      <c r="CB112" s="144"/>
      <c r="CC112" s="144"/>
      <c r="CD112" s="144"/>
      <c r="CE112" s="144"/>
      <c r="CF112" s="144"/>
      <c r="CG112" s="144"/>
      <c r="CH112" s="144"/>
      <c r="CI112" s="144"/>
      <c r="CJ112" s="144"/>
      <c r="CK112" s="144"/>
      <c r="CL112" s="144"/>
      <c r="CM112" s="144"/>
      <c r="CN112" s="144"/>
      <c r="CO112" s="144"/>
      <c r="CP112" s="144"/>
      <c r="CQ112" s="144"/>
      <c r="CR112" s="144"/>
      <c r="CS112" s="144"/>
      <c r="CT112" s="144"/>
      <c r="CU112" s="144"/>
      <c r="CV112" s="144"/>
      <c r="CW112" s="144"/>
      <c r="CX112" s="145"/>
      <c r="CY112" s="139"/>
      <c r="CZ112" s="127">
        <f t="shared" si="2"/>
        <v>0</v>
      </c>
      <c r="DA112" s="129">
        <f t="shared" si="3"/>
        <v>0</v>
      </c>
      <c r="DB112" s="129">
        <f t="shared" si="4"/>
        <v>0</v>
      </c>
      <c r="DC112" s="129">
        <f t="shared" si="5"/>
        <v>0</v>
      </c>
      <c r="DD112" s="129">
        <f t="shared" si="6"/>
        <v>0</v>
      </c>
      <c r="DE112" s="129">
        <f t="shared" si="7"/>
        <v>0</v>
      </c>
      <c r="DF112" s="129">
        <f t="shared" si="8"/>
        <v>0</v>
      </c>
      <c r="DG112" s="129">
        <f t="shared" si="9"/>
        <v>0</v>
      </c>
      <c r="DH112" s="129">
        <f t="shared" si="10"/>
        <v>0</v>
      </c>
      <c r="DI112" s="139"/>
    </row>
    <row r="113" ht="22.5" customHeight="1">
      <c r="A113" s="140" t="str">
        <f t="shared" si="1"/>
        <v>|</v>
      </c>
      <c r="B113" s="141"/>
      <c r="C113" s="142"/>
      <c r="D113" s="143"/>
      <c r="E113" s="143"/>
      <c r="F113" s="143"/>
      <c r="G113" s="144"/>
      <c r="H113" s="144"/>
      <c r="I113" s="144"/>
      <c r="J113" s="145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  <c r="AD113" s="144"/>
      <c r="AE113" s="144"/>
      <c r="AF113" s="144"/>
      <c r="AG113" s="144"/>
      <c r="AH113" s="144"/>
      <c r="AI113" s="144"/>
      <c r="AJ113" s="144"/>
      <c r="AK113" s="144"/>
      <c r="AL113" s="144"/>
      <c r="AM113" s="144"/>
      <c r="AN113" s="144"/>
      <c r="AO113" s="144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4"/>
      <c r="AZ113" s="144"/>
      <c r="BA113" s="144"/>
      <c r="BB113" s="144"/>
      <c r="BC113" s="144"/>
      <c r="BD113" s="144"/>
      <c r="BE113" s="144"/>
      <c r="BF113" s="144"/>
      <c r="BG113" s="144"/>
      <c r="BH113" s="144"/>
      <c r="BI113" s="144"/>
      <c r="BJ113" s="144"/>
      <c r="BK113" s="144"/>
      <c r="BL113" s="144"/>
      <c r="BM113" s="144"/>
      <c r="BN113" s="144"/>
      <c r="BO113" s="144"/>
      <c r="BP113" s="144"/>
      <c r="BQ113" s="144"/>
      <c r="BR113" s="144"/>
      <c r="BS113" s="144"/>
      <c r="BT113" s="144"/>
      <c r="BU113" s="144"/>
      <c r="BV113" s="144"/>
      <c r="BW113" s="144"/>
      <c r="BX113" s="144"/>
      <c r="BY113" s="144"/>
      <c r="BZ113" s="144"/>
      <c r="CA113" s="144"/>
      <c r="CB113" s="144"/>
      <c r="CC113" s="144"/>
      <c r="CD113" s="144"/>
      <c r="CE113" s="144"/>
      <c r="CF113" s="144"/>
      <c r="CG113" s="144"/>
      <c r="CH113" s="144"/>
      <c r="CI113" s="144"/>
      <c r="CJ113" s="144"/>
      <c r="CK113" s="144"/>
      <c r="CL113" s="144"/>
      <c r="CM113" s="144"/>
      <c r="CN113" s="144"/>
      <c r="CO113" s="144"/>
      <c r="CP113" s="144"/>
      <c r="CQ113" s="144"/>
      <c r="CR113" s="144"/>
      <c r="CS113" s="144"/>
      <c r="CT113" s="144"/>
      <c r="CU113" s="144"/>
      <c r="CV113" s="144"/>
      <c r="CW113" s="144"/>
      <c r="CX113" s="145"/>
      <c r="CY113" s="139"/>
      <c r="CZ113" s="127">
        <f t="shared" si="2"/>
        <v>0</v>
      </c>
      <c r="DA113" s="129">
        <f t="shared" si="3"/>
        <v>0</v>
      </c>
      <c r="DB113" s="129">
        <f t="shared" si="4"/>
        <v>0</v>
      </c>
      <c r="DC113" s="129">
        <f t="shared" si="5"/>
        <v>0</v>
      </c>
      <c r="DD113" s="129">
        <f t="shared" si="6"/>
        <v>0</v>
      </c>
      <c r="DE113" s="129">
        <f t="shared" si="7"/>
        <v>0</v>
      </c>
      <c r="DF113" s="129">
        <f t="shared" si="8"/>
        <v>0</v>
      </c>
      <c r="DG113" s="129">
        <f t="shared" si="9"/>
        <v>0</v>
      </c>
      <c r="DH113" s="129">
        <f t="shared" si="10"/>
        <v>0</v>
      </c>
      <c r="DI113" s="139"/>
    </row>
    <row r="114" ht="22.5" customHeight="1">
      <c r="A114" s="140" t="str">
        <f t="shared" si="1"/>
        <v>|</v>
      </c>
      <c r="B114" s="141"/>
      <c r="C114" s="142"/>
      <c r="D114" s="143"/>
      <c r="E114" s="143"/>
      <c r="F114" s="143"/>
      <c r="G114" s="144"/>
      <c r="H114" s="144"/>
      <c r="I114" s="144"/>
      <c r="J114" s="145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  <c r="AD114" s="144"/>
      <c r="AE114" s="144"/>
      <c r="AF114" s="144"/>
      <c r="AG114" s="144"/>
      <c r="AH114" s="144"/>
      <c r="AI114" s="144"/>
      <c r="AJ114" s="144"/>
      <c r="AK114" s="144"/>
      <c r="AL114" s="144"/>
      <c r="AM114" s="144"/>
      <c r="AN114" s="144"/>
      <c r="AO114" s="144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4"/>
      <c r="AZ114" s="144"/>
      <c r="BA114" s="144"/>
      <c r="BB114" s="144"/>
      <c r="BC114" s="144"/>
      <c r="BD114" s="144"/>
      <c r="BE114" s="144"/>
      <c r="BF114" s="144"/>
      <c r="BG114" s="144"/>
      <c r="BH114" s="144"/>
      <c r="BI114" s="144"/>
      <c r="BJ114" s="144"/>
      <c r="BK114" s="144"/>
      <c r="BL114" s="144"/>
      <c r="BM114" s="144"/>
      <c r="BN114" s="144"/>
      <c r="BO114" s="144"/>
      <c r="BP114" s="144"/>
      <c r="BQ114" s="144"/>
      <c r="BR114" s="144"/>
      <c r="BS114" s="144"/>
      <c r="BT114" s="144"/>
      <c r="BU114" s="144"/>
      <c r="BV114" s="144"/>
      <c r="BW114" s="144"/>
      <c r="BX114" s="144"/>
      <c r="BY114" s="144"/>
      <c r="BZ114" s="144"/>
      <c r="CA114" s="144"/>
      <c r="CB114" s="144"/>
      <c r="CC114" s="144"/>
      <c r="CD114" s="144"/>
      <c r="CE114" s="144"/>
      <c r="CF114" s="144"/>
      <c r="CG114" s="144"/>
      <c r="CH114" s="144"/>
      <c r="CI114" s="144"/>
      <c r="CJ114" s="144"/>
      <c r="CK114" s="144"/>
      <c r="CL114" s="144"/>
      <c r="CM114" s="144"/>
      <c r="CN114" s="144"/>
      <c r="CO114" s="144"/>
      <c r="CP114" s="144"/>
      <c r="CQ114" s="144"/>
      <c r="CR114" s="144"/>
      <c r="CS114" s="144"/>
      <c r="CT114" s="144"/>
      <c r="CU114" s="144"/>
      <c r="CV114" s="144"/>
      <c r="CW114" s="144"/>
      <c r="CX114" s="145"/>
      <c r="CY114" s="139"/>
      <c r="CZ114" s="127">
        <f t="shared" si="2"/>
        <v>0</v>
      </c>
      <c r="DA114" s="129">
        <f t="shared" si="3"/>
        <v>0</v>
      </c>
      <c r="DB114" s="129">
        <f t="shared" si="4"/>
        <v>0</v>
      </c>
      <c r="DC114" s="129">
        <f t="shared" si="5"/>
        <v>0</v>
      </c>
      <c r="DD114" s="129">
        <f t="shared" si="6"/>
        <v>0</v>
      </c>
      <c r="DE114" s="129">
        <f t="shared" si="7"/>
        <v>0</v>
      </c>
      <c r="DF114" s="129">
        <f t="shared" si="8"/>
        <v>0</v>
      </c>
      <c r="DG114" s="129">
        <f t="shared" si="9"/>
        <v>0</v>
      </c>
      <c r="DH114" s="129">
        <f t="shared" si="10"/>
        <v>0</v>
      </c>
      <c r="DI114" s="139"/>
    </row>
    <row r="115" ht="22.5" customHeight="1">
      <c r="A115" s="140" t="str">
        <f t="shared" si="1"/>
        <v>|</v>
      </c>
      <c r="B115" s="141"/>
      <c r="C115" s="142"/>
      <c r="D115" s="143"/>
      <c r="E115" s="143"/>
      <c r="F115" s="143"/>
      <c r="G115" s="144"/>
      <c r="H115" s="144"/>
      <c r="I115" s="144"/>
      <c r="J115" s="145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  <c r="AK115" s="144"/>
      <c r="AL115" s="144"/>
      <c r="AM115" s="144"/>
      <c r="AN115" s="144"/>
      <c r="AO115" s="144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4"/>
      <c r="AZ115" s="144"/>
      <c r="BA115" s="144"/>
      <c r="BB115" s="144"/>
      <c r="BC115" s="144"/>
      <c r="BD115" s="144"/>
      <c r="BE115" s="144"/>
      <c r="BF115" s="144"/>
      <c r="BG115" s="144"/>
      <c r="BH115" s="144"/>
      <c r="BI115" s="144"/>
      <c r="BJ115" s="144"/>
      <c r="BK115" s="144"/>
      <c r="BL115" s="144"/>
      <c r="BM115" s="144"/>
      <c r="BN115" s="144"/>
      <c r="BO115" s="144"/>
      <c r="BP115" s="144"/>
      <c r="BQ115" s="144"/>
      <c r="BR115" s="144"/>
      <c r="BS115" s="144"/>
      <c r="BT115" s="144"/>
      <c r="BU115" s="144"/>
      <c r="BV115" s="144"/>
      <c r="BW115" s="144"/>
      <c r="BX115" s="144"/>
      <c r="BY115" s="144"/>
      <c r="BZ115" s="144"/>
      <c r="CA115" s="144"/>
      <c r="CB115" s="144"/>
      <c r="CC115" s="144"/>
      <c r="CD115" s="144"/>
      <c r="CE115" s="144"/>
      <c r="CF115" s="144"/>
      <c r="CG115" s="144"/>
      <c r="CH115" s="144"/>
      <c r="CI115" s="144"/>
      <c r="CJ115" s="144"/>
      <c r="CK115" s="144"/>
      <c r="CL115" s="144"/>
      <c r="CM115" s="144"/>
      <c r="CN115" s="144"/>
      <c r="CO115" s="144"/>
      <c r="CP115" s="144"/>
      <c r="CQ115" s="144"/>
      <c r="CR115" s="144"/>
      <c r="CS115" s="144"/>
      <c r="CT115" s="144"/>
      <c r="CU115" s="144"/>
      <c r="CV115" s="144"/>
      <c r="CW115" s="144"/>
      <c r="CX115" s="145"/>
      <c r="CY115" s="139"/>
      <c r="CZ115" s="127">
        <f t="shared" si="2"/>
        <v>0</v>
      </c>
      <c r="DA115" s="129">
        <f t="shared" si="3"/>
        <v>0</v>
      </c>
      <c r="DB115" s="129">
        <f t="shared" si="4"/>
        <v>0</v>
      </c>
      <c r="DC115" s="129">
        <f t="shared" si="5"/>
        <v>0</v>
      </c>
      <c r="DD115" s="129">
        <f t="shared" si="6"/>
        <v>0</v>
      </c>
      <c r="DE115" s="129">
        <f t="shared" si="7"/>
        <v>0</v>
      </c>
      <c r="DF115" s="129">
        <f t="shared" si="8"/>
        <v>0</v>
      </c>
      <c r="DG115" s="129">
        <f t="shared" si="9"/>
        <v>0</v>
      </c>
      <c r="DH115" s="129">
        <f t="shared" si="10"/>
        <v>0</v>
      </c>
      <c r="DI115" s="139"/>
    </row>
    <row r="116" ht="22.5" customHeight="1">
      <c r="A116" s="140" t="str">
        <f t="shared" si="1"/>
        <v>|</v>
      </c>
      <c r="B116" s="141"/>
      <c r="C116" s="142"/>
      <c r="D116" s="143"/>
      <c r="E116" s="143"/>
      <c r="F116" s="143"/>
      <c r="G116" s="144"/>
      <c r="H116" s="144"/>
      <c r="I116" s="144"/>
      <c r="J116" s="145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  <c r="AK116" s="144"/>
      <c r="AL116" s="144"/>
      <c r="AM116" s="144"/>
      <c r="AN116" s="144"/>
      <c r="AO116" s="144"/>
      <c r="AP116" s="144"/>
      <c r="AQ116" s="144"/>
      <c r="AR116" s="144"/>
      <c r="AS116" s="144"/>
      <c r="AT116" s="144"/>
      <c r="AU116" s="144"/>
      <c r="AV116" s="144"/>
      <c r="AW116" s="144"/>
      <c r="AX116" s="144"/>
      <c r="AY116" s="144"/>
      <c r="AZ116" s="144"/>
      <c r="BA116" s="144"/>
      <c r="BB116" s="144"/>
      <c r="BC116" s="144"/>
      <c r="BD116" s="144"/>
      <c r="BE116" s="144"/>
      <c r="BF116" s="144"/>
      <c r="BG116" s="144"/>
      <c r="BH116" s="144"/>
      <c r="BI116" s="144"/>
      <c r="BJ116" s="144"/>
      <c r="BK116" s="144"/>
      <c r="BL116" s="144"/>
      <c r="BM116" s="144"/>
      <c r="BN116" s="144"/>
      <c r="BO116" s="144"/>
      <c r="BP116" s="144"/>
      <c r="BQ116" s="144"/>
      <c r="BR116" s="144"/>
      <c r="BS116" s="144"/>
      <c r="BT116" s="144"/>
      <c r="BU116" s="144"/>
      <c r="BV116" s="144"/>
      <c r="BW116" s="144"/>
      <c r="BX116" s="144"/>
      <c r="BY116" s="144"/>
      <c r="BZ116" s="144"/>
      <c r="CA116" s="144"/>
      <c r="CB116" s="144"/>
      <c r="CC116" s="144"/>
      <c r="CD116" s="144"/>
      <c r="CE116" s="144"/>
      <c r="CF116" s="144"/>
      <c r="CG116" s="144"/>
      <c r="CH116" s="144"/>
      <c r="CI116" s="144"/>
      <c r="CJ116" s="144"/>
      <c r="CK116" s="144"/>
      <c r="CL116" s="144"/>
      <c r="CM116" s="144"/>
      <c r="CN116" s="144"/>
      <c r="CO116" s="144"/>
      <c r="CP116" s="144"/>
      <c r="CQ116" s="144"/>
      <c r="CR116" s="144"/>
      <c r="CS116" s="144"/>
      <c r="CT116" s="144"/>
      <c r="CU116" s="144"/>
      <c r="CV116" s="144"/>
      <c r="CW116" s="144"/>
      <c r="CX116" s="145"/>
      <c r="CY116" s="139"/>
      <c r="CZ116" s="127">
        <f t="shared" si="2"/>
        <v>0</v>
      </c>
      <c r="DA116" s="129">
        <f t="shared" si="3"/>
        <v>0</v>
      </c>
      <c r="DB116" s="129">
        <f t="shared" si="4"/>
        <v>0</v>
      </c>
      <c r="DC116" s="129">
        <f t="shared" si="5"/>
        <v>0</v>
      </c>
      <c r="DD116" s="129">
        <f t="shared" si="6"/>
        <v>0</v>
      </c>
      <c r="DE116" s="129">
        <f t="shared" si="7"/>
        <v>0</v>
      </c>
      <c r="DF116" s="129">
        <f t="shared" si="8"/>
        <v>0</v>
      </c>
      <c r="DG116" s="129">
        <f t="shared" si="9"/>
        <v>0</v>
      </c>
      <c r="DH116" s="129">
        <f t="shared" si="10"/>
        <v>0</v>
      </c>
      <c r="DI116" s="139"/>
    </row>
    <row r="117" ht="22.5" customHeight="1">
      <c r="A117" s="140" t="str">
        <f t="shared" si="1"/>
        <v>|</v>
      </c>
      <c r="B117" s="141"/>
      <c r="C117" s="142"/>
      <c r="D117" s="143"/>
      <c r="E117" s="143"/>
      <c r="F117" s="143"/>
      <c r="G117" s="144"/>
      <c r="H117" s="144"/>
      <c r="I117" s="144"/>
      <c r="J117" s="145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  <c r="AK117" s="144"/>
      <c r="AL117" s="144"/>
      <c r="AM117" s="144"/>
      <c r="AN117" s="144"/>
      <c r="AO117" s="144"/>
      <c r="AP117" s="144"/>
      <c r="AQ117" s="144"/>
      <c r="AR117" s="144"/>
      <c r="AS117" s="144"/>
      <c r="AT117" s="144"/>
      <c r="AU117" s="144"/>
      <c r="AV117" s="144"/>
      <c r="AW117" s="144"/>
      <c r="AX117" s="144"/>
      <c r="AY117" s="144"/>
      <c r="AZ117" s="144"/>
      <c r="BA117" s="144"/>
      <c r="BB117" s="144"/>
      <c r="BC117" s="144"/>
      <c r="BD117" s="144"/>
      <c r="BE117" s="144"/>
      <c r="BF117" s="144"/>
      <c r="BG117" s="144"/>
      <c r="BH117" s="144"/>
      <c r="BI117" s="144"/>
      <c r="BJ117" s="144"/>
      <c r="BK117" s="144"/>
      <c r="BL117" s="144"/>
      <c r="BM117" s="144"/>
      <c r="BN117" s="144"/>
      <c r="BO117" s="144"/>
      <c r="BP117" s="144"/>
      <c r="BQ117" s="144"/>
      <c r="BR117" s="144"/>
      <c r="BS117" s="144"/>
      <c r="BT117" s="144"/>
      <c r="BU117" s="144"/>
      <c r="BV117" s="144"/>
      <c r="BW117" s="144"/>
      <c r="BX117" s="144"/>
      <c r="BY117" s="144"/>
      <c r="BZ117" s="144"/>
      <c r="CA117" s="144"/>
      <c r="CB117" s="144"/>
      <c r="CC117" s="144"/>
      <c r="CD117" s="144"/>
      <c r="CE117" s="144"/>
      <c r="CF117" s="144"/>
      <c r="CG117" s="144"/>
      <c r="CH117" s="144"/>
      <c r="CI117" s="144"/>
      <c r="CJ117" s="144"/>
      <c r="CK117" s="144"/>
      <c r="CL117" s="144"/>
      <c r="CM117" s="144"/>
      <c r="CN117" s="144"/>
      <c r="CO117" s="144"/>
      <c r="CP117" s="144"/>
      <c r="CQ117" s="144"/>
      <c r="CR117" s="144"/>
      <c r="CS117" s="144"/>
      <c r="CT117" s="144"/>
      <c r="CU117" s="144"/>
      <c r="CV117" s="144"/>
      <c r="CW117" s="144"/>
      <c r="CX117" s="145"/>
      <c r="CY117" s="139"/>
      <c r="CZ117" s="127">
        <f t="shared" si="2"/>
        <v>0</v>
      </c>
      <c r="DA117" s="129">
        <f t="shared" si="3"/>
        <v>0</v>
      </c>
      <c r="DB117" s="129">
        <f t="shared" si="4"/>
        <v>0</v>
      </c>
      <c r="DC117" s="129">
        <f t="shared" si="5"/>
        <v>0</v>
      </c>
      <c r="DD117" s="129">
        <f t="shared" si="6"/>
        <v>0</v>
      </c>
      <c r="DE117" s="129">
        <f t="shared" si="7"/>
        <v>0</v>
      </c>
      <c r="DF117" s="129">
        <f t="shared" si="8"/>
        <v>0</v>
      </c>
      <c r="DG117" s="129">
        <f t="shared" si="9"/>
        <v>0</v>
      </c>
      <c r="DH117" s="129">
        <f t="shared" si="10"/>
        <v>0</v>
      </c>
      <c r="DI117" s="139"/>
    </row>
    <row r="118" ht="22.5" customHeight="1">
      <c r="A118" s="140" t="str">
        <f t="shared" si="1"/>
        <v>|</v>
      </c>
      <c r="B118" s="141"/>
      <c r="C118" s="142"/>
      <c r="D118" s="143"/>
      <c r="E118" s="143"/>
      <c r="F118" s="143"/>
      <c r="G118" s="144"/>
      <c r="H118" s="144"/>
      <c r="I118" s="144"/>
      <c r="J118" s="145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  <c r="AK118" s="144"/>
      <c r="AL118" s="144"/>
      <c r="AM118" s="144"/>
      <c r="AN118" s="144"/>
      <c r="AO118" s="144"/>
      <c r="AP118" s="144"/>
      <c r="AQ118" s="144"/>
      <c r="AR118" s="144"/>
      <c r="AS118" s="144"/>
      <c r="AT118" s="144"/>
      <c r="AU118" s="144"/>
      <c r="AV118" s="144"/>
      <c r="AW118" s="144"/>
      <c r="AX118" s="144"/>
      <c r="AY118" s="144"/>
      <c r="AZ118" s="144"/>
      <c r="BA118" s="144"/>
      <c r="BB118" s="144"/>
      <c r="BC118" s="144"/>
      <c r="BD118" s="144"/>
      <c r="BE118" s="144"/>
      <c r="BF118" s="144"/>
      <c r="BG118" s="144"/>
      <c r="BH118" s="144"/>
      <c r="BI118" s="144"/>
      <c r="BJ118" s="144"/>
      <c r="BK118" s="144"/>
      <c r="BL118" s="144"/>
      <c r="BM118" s="144"/>
      <c r="BN118" s="144"/>
      <c r="BO118" s="144"/>
      <c r="BP118" s="144"/>
      <c r="BQ118" s="144"/>
      <c r="BR118" s="144"/>
      <c r="BS118" s="144"/>
      <c r="BT118" s="144"/>
      <c r="BU118" s="144"/>
      <c r="BV118" s="144"/>
      <c r="BW118" s="144"/>
      <c r="BX118" s="144"/>
      <c r="BY118" s="144"/>
      <c r="BZ118" s="144"/>
      <c r="CA118" s="144"/>
      <c r="CB118" s="144"/>
      <c r="CC118" s="144"/>
      <c r="CD118" s="144"/>
      <c r="CE118" s="144"/>
      <c r="CF118" s="144"/>
      <c r="CG118" s="144"/>
      <c r="CH118" s="144"/>
      <c r="CI118" s="144"/>
      <c r="CJ118" s="144"/>
      <c r="CK118" s="144"/>
      <c r="CL118" s="144"/>
      <c r="CM118" s="144"/>
      <c r="CN118" s="144"/>
      <c r="CO118" s="144"/>
      <c r="CP118" s="144"/>
      <c r="CQ118" s="144"/>
      <c r="CR118" s="144"/>
      <c r="CS118" s="144"/>
      <c r="CT118" s="144"/>
      <c r="CU118" s="144"/>
      <c r="CV118" s="144"/>
      <c r="CW118" s="144"/>
      <c r="CX118" s="145"/>
      <c r="CY118" s="139"/>
      <c r="CZ118" s="127">
        <f t="shared" si="2"/>
        <v>0</v>
      </c>
      <c r="DA118" s="129">
        <f t="shared" si="3"/>
        <v>0</v>
      </c>
      <c r="DB118" s="129">
        <f t="shared" si="4"/>
        <v>0</v>
      </c>
      <c r="DC118" s="129">
        <f t="shared" si="5"/>
        <v>0</v>
      </c>
      <c r="DD118" s="129">
        <f t="shared" si="6"/>
        <v>0</v>
      </c>
      <c r="DE118" s="129">
        <f t="shared" si="7"/>
        <v>0</v>
      </c>
      <c r="DF118" s="129">
        <f t="shared" si="8"/>
        <v>0</v>
      </c>
      <c r="DG118" s="129">
        <f t="shared" si="9"/>
        <v>0</v>
      </c>
      <c r="DH118" s="129">
        <f t="shared" si="10"/>
        <v>0</v>
      </c>
      <c r="DI118" s="139"/>
    </row>
    <row r="119" ht="22.5" customHeight="1">
      <c r="A119" s="140" t="str">
        <f t="shared" si="1"/>
        <v>|</v>
      </c>
      <c r="B119" s="141"/>
      <c r="C119" s="142"/>
      <c r="D119" s="143"/>
      <c r="E119" s="143"/>
      <c r="F119" s="143"/>
      <c r="G119" s="144"/>
      <c r="H119" s="144"/>
      <c r="I119" s="144"/>
      <c r="J119" s="145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  <c r="AK119" s="144"/>
      <c r="AL119" s="144"/>
      <c r="AM119" s="144"/>
      <c r="AN119" s="144"/>
      <c r="AO119" s="144"/>
      <c r="AP119" s="144"/>
      <c r="AQ119" s="144"/>
      <c r="AR119" s="144"/>
      <c r="AS119" s="144"/>
      <c r="AT119" s="144"/>
      <c r="AU119" s="144"/>
      <c r="AV119" s="144"/>
      <c r="AW119" s="144"/>
      <c r="AX119" s="144"/>
      <c r="AY119" s="144"/>
      <c r="AZ119" s="144"/>
      <c r="BA119" s="144"/>
      <c r="BB119" s="144"/>
      <c r="BC119" s="144"/>
      <c r="BD119" s="144"/>
      <c r="BE119" s="144"/>
      <c r="BF119" s="144"/>
      <c r="BG119" s="144"/>
      <c r="BH119" s="144"/>
      <c r="BI119" s="144"/>
      <c r="BJ119" s="144"/>
      <c r="BK119" s="144"/>
      <c r="BL119" s="144"/>
      <c r="BM119" s="144"/>
      <c r="BN119" s="144"/>
      <c r="BO119" s="144"/>
      <c r="BP119" s="144"/>
      <c r="BQ119" s="144"/>
      <c r="BR119" s="144"/>
      <c r="BS119" s="144"/>
      <c r="BT119" s="144"/>
      <c r="BU119" s="144"/>
      <c r="BV119" s="144"/>
      <c r="BW119" s="144"/>
      <c r="BX119" s="144"/>
      <c r="BY119" s="144"/>
      <c r="BZ119" s="144"/>
      <c r="CA119" s="144"/>
      <c r="CB119" s="144"/>
      <c r="CC119" s="144"/>
      <c r="CD119" s="144"/>
      <c r="CE119" s="144"/>
      <c r="CF119" s="144"/>
      <c r="CG119" s="144"/>
      <c r="CH119" s="144"/>
      <c r="CI119" s="144"/>
      <c r="CJ119" s="144"/>
      <c r="CK119" s="144"/>
      <c r="CL119" s="144"/>
      <c r="CM119" s="144"/>
      <c r="CN119" s="144"/>
      <c r="CO119" s="144"/>
      <c r="CP119" s="144"/>
      <c r="CQ119" s="144"/>
      <c r="CR119" s="144"/>
      <c r="CS119" s="144"/>
      <c r="CT119" s="144"/>
      <c r="CU119" s="144"/>
      <c r="CV119" s="144"/>
      <c r="CW119" s="144"/>
      <c r="CX119" s="145"/>
      <c r="CY119" s="139"/>
      <c r="CZ119" s="127">
        <f t="shared" si="2"/>
        <v>0</v>
      </c>
      <c r="DA119" s="129">
        <f t="shared" si="3"/>
        <v>0</v>
      </c>
      <c r="DB119" s="129">
        <f t="shared" si="4"/>
        <v>0</v>
      </c>
      <c r="DC119" s="129">
        <f t="shared" si="5"/>
        <v>0</v>
      </c>
      <c r="DD119" s="129">
        <f t="shared" si="6"/>
        <v>0</v>
      </c>
      <c r="DE119" s="129">
        <f t="shared" si="7"/>
        <v>0</v>
      </c>
      <c r="DF119" s="129">
        <f t="shared" si="8"/>
        <v>0</v>
      </c>
      <c r="DG119" s="129">
        <f t="shared" si="9"/>
        <v>0</v>
      </c>
      <c r="DH119" s="129">
        <f t="shared" si="10"/>
        <v>0</v>
      </c>
      <c r="DI119" s="139"/>
    </row>
    <row r="120" ht="22.5" customHeight="1">
      <c r="A120" s="140" t="str">
        <f t="shared" si="1"/>
        <v>|</v>
      </c>
      <c r="B120" s="141"/>
      <c r="C120" s="142"/>
      <c r="D120" s="143"/>
      <c r="E120" s="143"/>
      <c r="F120" s="143"/>
      <c r="G120" s="144"/>
      <c r="H120" s="144"/>
      <c r="I120" s="144"/>
      <c r="J120" s="145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  <c r="AK120" s="144"/>
      <c r="AL120" s="144"/>
      <c r="AM120" s="144"/>
      <c r="AN120" s="144"/>
      <c r="AO120" s="144"/>
      <c r="AP120" s="144"/>
      <c r="AQ120" s="144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B120" s="144"/>
      <c r="BC120" s="144"/>
      <c r="BD120" s="144"/>
      <c r="BE120" s="144"/>
      <c r="BF120" s="144"/>
      <c r="BG120" s="144"/>
      <c r="BH120" s="144"/>
      <c r="BI120" s="144"/>
      <c r="BJ120" s="144"/>
      <c r="BK120" s="144"/>
      <c r="BL120" s="144"/>
      <c r="BM120" s="144"/>
      <c r="BN120" s="144"/>
      <c r="BO120" s="144"/>
      <c r="BP120" s="144"/>
      <c r="BQ120" s="144"/>
      <c r="BR120" s="144"/>
      <c r="BS120" s="144"/>
      <c r="BT120" s="144"/>
      <c r="BU120" s="144"/>
      <c r="BV120" s="144"/>
      <c r="BW120" s="144"/>
      <c r="BX120" s="144"/>
      <c r="BY120" s="144"/>
      <c r="BZ120" s="144"/>
      <c r="CA120" s="144"/>
      <c r="CB120" s="144"/>
      <c r="CC120" s="144"/>
      <c r="CD120" s="144"/>
      <c r="CE120" s="144"/>
      <c r="CF120" s="144"/>
      <c r="CG120" s="144"/>
      <c r="CH120" s="144"/>
      <c r="CI120" s="144"/>
      <c r="CJ120" s="144"/>
      <c r="CK120" s="144"/>
      <c r="CL120" s="144"/>
      <c r="CM120" s="144"/>
      <c r="CN120" s="144"/>
      <c r="CO120" s="144"/>
      <c r="CP120" s="144"/>
      <c r="CQ120" s="144"/>
      <c r="CR120" s="144"/>
      <c r="CS120" s="144"/>
      <c r="CT120" s="144"/>
      <c r="CU120" s="144"/>
      <c r="CV120" s="144"/>
      <c r="CW120" s="144"/>
      <c r="CX120" s="145"/>
      <c r="CY120" s="139"/>
      <c r="CZ120" s="127">
        <f t="shared" si="2"/>
        <v>0</v>
      </c>
      <c r="DA120" s="129">
        <f t="shared" si="3"/>
        <v>0</v>
      </c>
      <c r="DB120" s="129">
        <f t="shared" si="4"/>
        <v>0</v>
      </c>
      <c r="DC120" s="129">
        <f t="shared" si="5"/>
        <v>0</v>
      </c>
      <c r="DD120" s="129">
        <f t="shared" si="6"/>
        <v>0</v>
      </c>
      <c r="DE120" s="129">
        <f t="shared" si="7"/>
        <v>0</v>
      </c>
      <c r="DF120" s="129">
        <f t="shared" si="8"/>
        <v>0</v>
      </c>
      <c r="DG120" s="129">
        <f t="shared" si="9"/>
        <v>0</v>
      </c>
      <c r="DH120" s="129">
        <f t="shared" si="10"/>
        <v>0</v>
      </c>
      <c r="DI120" s="139"/>
    </row>
    <row r="121" ht="22.5" customHeight="1">
      <c r="A121" s="140" t="str">
        <f t="shared" si="1"/>
        <v>|</v>
      </c>
      <c r="B121" s="141"/>
      <c r="C121" s="142"/>
      <c r="D121" s="143"/>
      <c r="E121" s="143"/>
      <c r="F121" s="143"/>
      <c r="G121" s="144"/>
      <c r="H121" s="144"/>
      <c r="I121" s="144"/>
      <c r="J121" s="145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  <c r="AK121" s="144"/>
      <c r="AL121" s="144"/>
      <c r="AM121" s="144"/>
      <c r="AN121" s="144"/>
      <c r="AO121" s="144"/>
      <c r="AP121" s="144"/>
      <c r="AQ121" s="144"/>
      <c r="AR121" s="144"/>
      <c r="AS121" s="144"/>
      <c r="AT121" s="144"/>
      <c r="AU121" s="144"/>
      <c r="AV121" s="144"/>
      <c r="AW121" s="144"/>
      <c r="AX121" s="144"/>
      <c r="AY121" s="144"/>
      <c r="AZ121" s="144"/>
      <c r="BA121" s="144"/>
      <c r="BB121" s="144"/>
      <c r="BC121" s="144"/>
      <c r="BD121" s="144"/>
      <c r="BE121" s="144"/>
      <c r="BF121" s="144"/>
      <c r="BG121" s="144"/>
      <c r="BH121" s="144"/>
      <c r="BI121" s="144"/>
      <c r="BJ121" s="144"/>
      <c r="BK121" s="144"/>
      <c r="BL121" s="144"/>
      <c r="BM121" s="144"/>
      <c r="BN121" s="144"/>
      <c r="BO121" s="144"/>
      <c r="BP121" s="144"/>
      <c r="BQ121" s="144"/>
      <c r="BR121" s="144"/>
      <c r="BS121" s="144"/>
      <c r="BT121" s="144"/>
      <c r="BU121" s="144"/>
      <c r="BV121" s="144"/>
      <c r="BW121" s="144"/>
      <c r="BX121" s="144"/>
      <c r="BY121" s="144"/>
      <c r="BZ121" s="144"/>
      <c r="CA121" s="144"/>
      <c r="CB121" s="144"/>
      <c r="CC121" s="144"/>
      <c r="CD121" s="144"/>
      <c r="CE121" s="144"/>
      <c r="CF121" s="144"/>
      <c r="CG121" s="144"/>
      <c r="CH121" s="144"/>
      <c r="CI121" s="144"/>
      <c r="CJ121" s="144"/>
      <c r="CK121" s="144"/>
      <c r="CL121" s="144"/>
      <c r="CM121" s="144"/>
      <c r="CN121" s="144"/>
      <c r="CO121" s="144"/>
      <c r="CP121" s="144"/>
      <c r="CQ121" s="144"/>
      <c r="CR121" s="144"/>
      <c r="CS121" s="144"/>
      <c r="CT121" s="144"/>
      <c r="CU121" s="144"/>
      <c r="CV121" s="144"/>
      <c r="CW121" s="144"/>
      <c r="CX121" s="145"/>
      <c r="CY121" s="139"/>
      <c r="CZ121" s="127">
        <f t="shared" si="2"/>
        <v>0</v>
      </c>
      <c r="DA121" s="129">
        <f t="shared" si="3"/>
        <v>0</v>
      </c>
      <c r="DB121" s="129">
        <f t="shared" si="4"/>
        <v>0</v>
      </c>
      <c r="DC121" s="129">
        <f t="shared" si="5"/>
        <v>0</v>
      </c>
      <c r="DD121" s="129">
        <f t="shared" si="6"/>
        <v>0</v>
      </c>
      <c r="DE121" s="129">
        <f t="shared" si="7"/>
        <v>0</v>
      </c>
      <c r="DF121" s="129">
        <f t="shared" si="8"/>
        <v>0</v>
      </c>
      <c r="DG121" s="129">
        <f t="shared" si="9"/>
        <v>0</v>
      </c>
      <c r="DH121" s="129">
        <f t="shared" si="10"/>
        <v>0</v>
      </c>
      <c r="DI121" s="139"/>
    </row>
    <row r="122" ht="22.5" customHeight="1">
      <c r="A122" s="140" t="str">
        <f t="shared" si="1"/>
        <v>|</v>
      </c>
      <c r="B122" s="141"/>
      <c r="C122" s="142"/>
      <c r="D122" s="143"/>
      <c r="E122" s="143"/>
      <c r="F122" s="143"/>
      <c r="G122" s="144"/>
      <c r="H122" s="144"/>
      <c r="I122" s="144"/>
      <c r="J122" s="145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  <c r="AK122" s="144"/>
      <c r="AL122" s="144"/>
      <c r="AM122" s="144"/>
      <c r="AN122" s="144"/>
      <c r="AO122" s="144"/>
      <c r="AP122" s="144"/>
      <c r="AQ122" s="144"/>
      <c r="AR122" s="144"/>
      <c r="AS122" s="144"/>
      <c r="AT122" s="144"/>
      <c r="AU122" s="144"/>
      <c r="AV122" s="144"/>
      <c r="AW122" s="144"/>
      <c r="AX122" s="144"/>
      <c r="AY122" s="144"/>
      <c r="AZ122" s="144"/>
      <c r="BA122" s="144"/>
      <c r="BB122" s="144"/>
      <c r="BC122" s="144"/>
      <c r="BD122" s="144"/>
      <c r="BE122" s="144"/>
      <c r="BF122" s="144"/>
      <c r="BG122" s="144"/>
      <c r="BH122" s="144"/>
      <c r="BI122" s="144"/>
      <c r="BJ122" s="144"/>
      <c r="BK122" s="144"/>
      <c r="BL122" s="144"/>
      <c r="BM122" s="144"/>
      <c r="BN122" s="144"/>
      <c r="BO122" s="144"/>
      <c r="BP122" s="144"/>
      <c r="BQ122" s="144"/>
      <c r="BR122" s="144"/>
      <c r="BS122" s="144"/>
      <c r="BT122" s="144"/>
      <c r="BU122" s="144"/>
      <c r="BV122" s="144"/>
      <c r="BW122" s="144"/>
      <c r="BX122" s="144"/>
      <c r="BY122" s="144"/>
      <c r="BZ122" s="144"/>
      <c r="CA122" s="144"/>
      <c r="CB122" s="144"/>
      <c r="CC122" s="144"/>
      <c r="CD122" s="144"/>
      <c r="CE122" s="144"/>
      <c r="CF122" s="144"/>
      <c r="CG122" s="144"/>
      <c r="CH122" s="144"/>
      <c r="CI122" s="144"/>
      <c r="CJ122" s="144"/>
      <c r="CK122" s="144"/>
      <c r="CL122" s="144"/>
      <c r="CM122" s="144"/>
      <c r="CN122" s="144"/>
      <c r="CO122" s="144"/>
      <c r="CP122" s="144"/>
      <c r="CQ122" s="144"/>
      <c r="CR122" s="144"/>
      <c r="CS122" s="144"/>
      <c r="CT122" s="144"/>
      <c r="CU122" s="144"/>
      <c r="CV122" s="144"/>
      <c r="CW122" s="144"/>
      <c r="CX122" s="145"/>
      <c r="CY122" s="139"/>
      <c r="CZ122" s="127">
        <f t="shared" si="2"/>
        <v>0</v>
      </c>
      <c r="DA122" s="129">
        <f t="shared" si="3"/>
        <v>0</v>
      </c>
      <c r="DB122" s="129">
        <f t="shared" si="4"/>
        <v>0</v>
      </c>
      <c r="DC122" s="129">
        <f t="shared" si="5"/>
        <v>0</v>
      </c>
      <c r="DD122" s="129">
        <f t="shared" si="6"/>
        <v>0</v>
      </c>
      <c r="DE122" s="129">
        <f t="shared" si="7"/>
        <v>0</v>
      </c>
      <c r="DF122" s="129">
        <f t="shared" si="8"/>
        <v>0</v>
      </c>
      <c r="DG122" s="129">
        <f t="shared" si="9"/>
        <v>0</v>
      </c>
      <c r="DH122" s="129">
        <f t="shared" si="10"/>
        <v>0</v>
      </c>
      <c r="DI122" s="139"/>
    </row>
    <row r="123" ht="22.5" customHeight="1">
      <c r="A123" s="140" t="str">
        <f t="shared" si="1"/>
        <v>|</v>
      </c>
      <c r="B123" s="141"/>
      <c r="C123" s="142"/>
      <c r="D123" s="143"/>
      <c r="E123" s="143"/>
      <c r="F123" s="143"/>
      <c r="G123" s="144"/>
      <c r="H123" s="144"/>
      <c r="I123" s="144"/>
      <c r="J123" s="145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  <c r="AK123" s="144"/>
      <c r="AL123" s="144"/>
      <c r="AM123" s="144"/>
      <c r="AN123" s="144"/>
      <c r="AO123" s="144"/>
      <c r="AP123" s="144"/>
      <c r="AQ123" s="144"/>
      <c r="AR123" s="144"/>
      <c r="AS123" s="144"/>
      <c r="AT123" s="144"/>
      <c r="AU123" s="144"/>
      <c r="AV123" s="144"/>
      <c r="AW123" s="144"/>
      <c r="AX123" s="144"/>
      <c r="AY123" s="144"/>
      <c r="AZ123" s="144"/>
      <c r="BA123" s="144"/>
      <c r="BB123" s="144"/>
      <c r="BC123" s="144"/>
      <c r="BD123" s="144"/>
      <c r="BE123" s="144"/>
      <c r="BF123" s="144"/>
      <c r="BG123" s="144"/>
      <c r="BH123" s="144"/>
      <c r="BI123" s="144"/>
      <c r="BJ123" s="144"/>
      <c r="BK123" s="144"/>
      <c r="BL123" s="144"/>
      <c r="BM123" s="144"/>
      <c r="BN123" s="144"/>
      <c r="BO123" s="144"/>
      <c r="BP123" s="144"/>
      <c r="BQ123" s="144"/>
      <c r="BR123" s="144"/>
      <c r="BS123" s="144"/>
      <c r="BT123" s="144"/>
      <c r="BU123" s="144"/>
      <c r="BV123" s="144"/>
      <c r="BW123" s="144"/>
      <c r="BX123" s="144"/>
      <c r="BY123" s="144"/>
      <c r="BZ123" s="144"/>
      <c r="CA123" s="144"/>
      <c r="CB123" s="144"/>
      <c r="CC123" s="144"/>
      <c r="CD123" s="144"/>
      <c r="CE123" s="144"/>
      <c r="CF123" s="144"/>
      <c r="CG123" s="144"/>
      <c r="CH123" s="144"/>
      <c r="CI123" s="144"/>
      <c r="CJ123" s="144"/>
      <c r="CK123" s="144"/>
      <c r="CL123" s="144"/>
      <c r="CM123" s="144"/>
      <c r="CN123" s="144"/>
      <c r="CO123" s="144"/>
      <c r="CP123" s="144"/>
      <c r="CQ123" s="144"/>
      <c r="CR123" s="144"/>
      <c r="CS123" s="144"/>
      <c r="CT123" s="144"/>
      <c r="CU123" s="144"/>
      <c r="CV123" s="144"/>
      <c r="CW123" s="144"/>
      <c r="CX123" s="145"/>
      <c r="CY123" s="139"/>
      <c r="CZ123" s="127">
        <f t="shared" si="2"/>
        <v>0</v>
      </c>
      <c r="DA123" s="129">
        <f t="shared" si="3"/>
        <v>0</v>
      </c>
      <c r="DB123" s="129">
        <f t="shared" si="4"/>
        <v>0</v>
      </c>
      <c r="DC123" s="129">
        <f t="shared" si="5"/>
        <v>0</v>
      </c>
      <c r="DD123" s="129">
        <f t="shared" si="6"/>
        <v>0</v>
      </c>
      <c r="DE123" s="129">
        <f t="shared" si="7"/>
        <v>0</v>
      </c>
      <c r="DF123" s="129">
        <f t="shared" si="8"/>
        <v>0</v>
      </c>
      <c r="DG123" s="129">
        <f t="shared" si="9"/>
        <v>0</v>
      </c>
      <c r="DH123" s="129">
        <f t="shared" si="10"/>
        <v>0</v>
      </c>
      <c r="DI123" s="139"/>
    </row>
    <row r="124" ht="22.5" customHeight="1">
      <c r="A124" s="140" t="str">
        <f t="shared" si="1"/>
        <v>|</v>
      </c>
      <c r="B124" s="141"/>
      <c r="C124" s="142"/>
      <c r="D124" s="143"/>
      <c r="E124" s="143"/>
      <c r="F124" s="143"/>
      <c r="G124" s="144"/>
      <c r="H124" s="144"/>
      <c r="I124" s="144"/>
      <c r="J124" s="145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  <c r="AK124" s="144"/>
      <c r="AL124" s="144"/>
      <c r="AM124" s="144"/>
      <c r="AN124" s="144"/>
      <c r="AO124" s="144"/>
      <c r="AP124" s="144"/>
      <c r="AQ124" s="144"/>
      <c r="AR124" s="144"/>
      <c r="AS124" s="144"/>
      <c r="AT124" s="144"/>
      <c r="AU124" s="144"/>
      <c r="AV124" s="144"/>
      <c r="AW124" s="144"/>
      <c r="AX124" s="144"/>
      <c r="AY124" s="144"/>
      <c r="AZ124" s="144"/>
      <c r="BA124" s="144"/>
      <c r="BB124" s="144"/>
      <c r="BC124" s="144"/>
      <c r="BD124" s="144"/>
      <c r="BE124" s="144"/>
      <c r="BF124" s="144"/>
      <c r="BG124" s="144"/>
      <c r="BH124" s="144"/>
      <c r="BI124" s="144"/>
      <c r="BJ124" s="144"/>
      <c r="BK124" s="144"/>
      <c r="BL124" s="144"/>
      <c r="BM124" s="144"/>
      <c r="BN124" s="144"/>
      <c r="BO124" s="144"/>
      <c r="BP124" s="144"/>
      <c r="BQ124" s="144"/>
      <c r="BR124" s="144"/>
      <c r="BS124" s="144"/>
      <c r="BT124" s="144"/>
      <c r="BU124" s="144"/>
      <c r="BV124" s="144"/>
      <c r="BW124" s="144"/>
      <c r="BX124" s="144"/>
      <c r="BY124" s="144"/>
      <c r="BZ124" s="144"/>
      <c r="CA124" s="144"/>
      <c r="CB124" s="144"/>
      <c r="CC124" s="144"/>
      <c r="CD124" s="144"/>
      <c r="CE124" s="144"/>
      <c r="CF124" s="144"/>
      <c r="CG124" s="144"/>
      <c r="CH124" s="144"/>
      <c r="CI124" s="144"/>
      <c r="CJ124" s="144"/>
      <c r="CK124" s="144"/>
      <c r="CL124" s="144"/>
      <c r="CM124" s="144"/>
      <c r="CN124" s="144"/>
      <c r="CO124" s="144"/>
      <c r="CP124" s="144"/>
      <c r="CQ124" s="144"/>
      <c r="CR124" s="144"/>
      <c r="CS124" s="144"/>
      <c r="CT124" s="144"/>
      <c r="CU124" s="144"/>
      <c r="CV124" s="144"/>
      <c r="CW124" s="144"/>
      <c r="CX124" s="145"/>
      <c r="CY124" s="139"/>
      <c r="CZ124" s="127">
        <f t="shared" si="2"/>
        <v>0</v>
      </c>
      <c r="DA124" s="129">
        <f t="shared" si="3"/>
        <v>0</v>
      </c>
      <c r="DB124" s="129">
        <f t="shared" si="4"/>
        <v>0</v>
      </c>
      <c r="DC124" s="129">
        <f t="shared" si="5"/>
        <v>0</v>
      </c>
      <c r="DD124" s="129">
        <f t="shared" si="6"/>
        <v>0</v>
      </c>
      <c r="DE124" s="129">
        <f t="shared" si="7"/>
        <v>0</v>
      </c>
      <c r="DF124" s="129">
        <f t="shared" si="8"/>
        <v>0</v>
      </c>
      <c r="DG124" s="129">
        <f t="shared" si="9"/>
        <v>0</v>
      </c>
      <c r="DH124" s="129">
        <f t="shared" si="10"/>
        <v>0</v>
      </c>
      <c r="DI124" s="139"/>
    </row>
    <row r="125" ht="22.5" customHeight="1">
      <c r="A125" s="140" t="str">
        <f t="shared" si="1"/>
        <v>|</v>
      </c>
      <c r="B125" s="141"/>
      <c r="C125" s="142"/>
      <c r="D125" s="143"/>
      <c r="E125" s="143"/>
      <c r="F125" s="143"/>
      <c r="G125" s="144"/>
      <c r="H125" s="144"/>
      <c r="I125" s="144"/>
      <c r="J125" s="145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  <c r="AK125" s="144"/>
      <c r="AL125" s="144"/>
      <c r="AM125" s="144"/>
      <c r="AN125" s="144"/>
      <c r="AO125" s="144"/>
      <c r="AP125" s="144"/>
      <c r="AQ125" s="144"/>
      <c r="AR125" s="144"/>
      <c r="AS125" s="144"/>
      <c r="AT125" s="144"/>
      <c r="AU125" s="144"/>
      <c r="AV125" s="144"/>
      <c r="AW125" s="144"/>
      <c r="AX125" s="144"/>
      <c r="AY125" s="144"/>
      <c r="AZ125" s="144"/>
      <c r="BA125" s="144"/>
      <c r="BB125" s="144"/>
      <c r="BC125" s="144"/>
      <c r="BD125" s="144"/>
      <c r="BE125" s="144"/>
      <c r="BF125" s="144"/>
      <c r="BG125" s="144"/>
      <c r="BH125" s="144"/>
      <c r="BI125" s="144"/>
      <c r="BJ125" s="144"/>
      <c r="BK125" s="144"/>
      <c r="BL125" s="144"/>
      <c r="BM125" s="144"/>
      <c r="BN125" s="144"/>
      <c r="BO125" s="144"/>
      <c r="BP125" s="144"/>
      <c r="BQ125" s="144"/>
      <c r="BR125" s="144"/>
      <c r="BS125" s="144"/>
      <c r="BT125" s="144"/>
      <c r="BU125" s="144"/>
      <c r="BV125" s="144"/>
      <c r="BW125" s="144"/>
      <c r="BX125" s="144"/>
      <c r="BY125" s="144"/>
      <c r="BZ125" s="144"/>
      <c r="CA125" s="144"/>
      <c r="CB125" s="144"/>
      <c r="CC125" s="144"/>
      <c r="CD125" s="144"/>
      <c r="CE125" s="144"/>
      <c r="CF125" s="144"/>
      <c r="CG125" s="144"/>
      <c r="CH125" s="144"/>
      <c r="CI125" s="144"/>
      <c r="CJ125" s="144"/>
      <c r="CK125" s="144"/>
      <c r="CL125" s="144"/>
      <c r="CM125" s="144"/>
      <c r="CN125" s="144"/>
      <c r="CO125" s="144"/>
      <c r="CP125" s="144"/>
      <c r="CQ125" s="144"/>
      <c r="CR125" s="144"/>
      <c r="CS125" s="144"/>
      <c r="CT125" s="144"/>
      <c r="CU125" s="144"/>
      <c r="CV125" s="144"/>
      <c r="CW125" s="144"/>
      <c r="CX125" s="145"/>
      <c r="CY125" s="139"/>
      <c r="CZ125" s="127">
        <f t="shared" si="2"/>
        <v>0</v>
      </c>
      <c r="DA125" s="129">
        <f t="shared" si="3"/>
        <v>0</v>
      </c>
      <c r="DB125" s="129">
        <f t="shared" si="4"/>
        <v>0</v>
      </c>
      <c r="DC125" s="129">
        <f t="shared" si="5"/>
        <v>0</v>
      </c>
      <c r="DD125" s="129">
        <f t="shared" si="6"/>
        <v>0</v>
      </c>
      <c r="DE125" s="129">
        <f t="shared" si="7"/>
        <v>0</v>
      </c>
      <c r="DF125" s="129">
        <f t="shared" si="8"/>
        <v>0</v>
      </c>
      <c r="DG125" s="129">
        <f t="shared" si="9"/>
        <v>0</v>
      </c>
      <c r="DH125" s="129">
        <f t="shared" si="10"/>
        <v>0</v>
      </c>
      <c r="DI125" s="139"/>
    </row>
    <row r="126" ht="22.5" customHeight="1">
      <c r="A126" s="140" t="str">
        <f t="shared" si="1"/>
        <v>|</v>
      </c>
      <c r="B126" s="141"/>
      <c r="C126" s="142"/>
      <c r="D126" s="143"/>
      <c r="E126" s="143"/>
      <c r="F126" s="143"/>
      <c r="G126" s="144"/>
      <c r="H126" s="144"/>
      <c r="I126" s="144"/>
      <c r="J126" s="145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  <c r="AK126" s="144"/>
      <c r="AL126" s="144"/>
      <c r="AM126" s="144"/>
      <c r="AN126" s="144"/>
      <c r="AO126" s="144"/>
      <c r="AP126" s="144"/>
      <c r="AQ126" s="144"/>
      <c r="AR126" s="144"/>
      <c r="AS126" s="144"/>
      <c r="AT126" s="144"/>
      <c r="AU126" s="144"/>
      <c r="AV126" s="144"/>
      <c r="AW126" s="144"/>
      <c r="AX126" s="144"/>
      <c r="AY126" s="144"/>
      <c r="AZ126" s="144"/>
      <c r="BA126" s="144"/>
      <c r="BB126" s="144"/>
      <c r="BC126" s="144"/>
      <c r="BD126" s="144"/>
      <c r="BE126" s="144"/>
      <c r="BF126" s="144"/>
      <c r="BG126" s="144"/>
      <c r="BH126" s="144"/>
      <c r="BI126" s="144"/>
      <c r="BJ126" s="144"/>
      <c r="BK126" s="144"/>
      <c r="BL126" s="144"/>
      <c r="BM126" s="144"/>
      <c r="BN126" s="144"/>
      <c r="BO126" s="144"/>
      <c r="BP126" s="144"/>
      <c r="BQ126" s="144"/>
      <c r="BR126" s="144"/>
      <c r="BS126" s="144"/>
      <c r="BT126" s="144"/>
      <c r="BU126" s="144"/>
      <c r="BV126" s="144"/>
      <c r="BW126" s="144"/>
      <c r="BX126" s="144"/>
      <c r="BY126" s="144"/>
      <c r="BZ126" s="144"/>
      <c r="CA126" s="144"/>
      <c r="CB126" s="144"/>
      <c r="CC126" s="144"/>
      <c r="CD126" s="144"/>
      <c r="CE126" s="144"/>
      <c r="CF126" s="144"/>
      <c r="CG126" s="144"/>
      <c r="CH126" s="144"/>
      <c r="CI126" s="144"/>
      <c r="CJ126" s="144"/>
      <c r="CK126" s="144"/>
      <c r="CL126" s="144"/>
      <c r="CM126" s="144"/>
      <c r="CN126" s="144"/>
      <c r="CO126" s="144"/>
      <c r="CP126" s="144"/>
      <c r="CQ126" s="144"/>
      <c r="CR126" s="144"/>
      <c r="CS126" s="144"/>
      <c r="CT126" s="144"/>
      <c r="CU126" s="144"/>
      <c r="CV126" s="144"/>
      <c r="CW126" s="144"/>
      <c r="CX126" s="145"/>
      <c r="CY126" s="139"/>
      <c r="CZ126" s="127">
        <f t="shared" si="2"/>
        <v>0</v>
      </c>
      <c r="DA126" s="129">
        <f t="shared" si="3"/>
        <v>0</v>
      </c>
      <c r="DB126" s="129">
        <f t="shared" si="4"/>
        <v>0</v>
      </c>
      <c r="DC126" s="129">
        <f t="shared" si="5"/>
        <v>0</v>
      </c>
      <c r="DD126" s="129">
        <f t="shared" si="6"/>
        <v>0</v>
      </c>
      <c r="DE126" s="129">
        <f t="shared" si="7"/>
        <v>0</v>
      </c>
      <c r="DF126" s="129">
        <f t="shared" si="8"/>
        <v>0</v>
      </c>
      <c r="DG126" s="129">
        <f t="shared" si="9"/>
        <v>0</v>
      </c>
      <c r="DH126" s="129">
        <f t="shared" si="10"/>
        <v>0</v>
      </c>
      <c r="DI126" s="139"/>
    </row>
    <row r="127" ht="22.5" customHeight="1">
      <c r="A127" s="140" t="str">
        <f t="shared" si="1"/>
        <v>|</v>
      </c>
      <c r="B127" s="141"/>
      <c r="C127" s="142"/>
      <c r="D127" s="143"/>
      <c r="E127" s="143"/>
      <c r="F127" s="143"/>
      <c r="G127" s="144"/>
      <c r="H127" s="144"/>
      <c r="I127" s="144"/>
      <c r="J127" s="145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  <c r="AK127" s="144"/>
      <c r="AL127" s="144"/>
      <c r="AM127" s="144"/>
      <c r="AN127" s="144"/>
      <c r="AO127" s="144"/>
      <c r="AP127" s="144"/>
      <c r="AQ127" s="144"/>
      <c r="AR127" s="144"/>
      <c r="AS127" s="144"/>
      <c r="AT127" s="144"/>
      <c r="AU127" s="144"/>
      <c r="AV127" s="144"/>
      <c r="AW127" s="144"/>
      <c r="AX127" s="144"/>
      <c r="AY127" s="144"/>
      <c r="AZ127" s="144"/>
      <c r="BA127" s="144"/>
      <c r="BB127" s="144"/>
      <c r="BC127" s="144"/>
      <c r="BD127" s="144"/>
      <c r="BE127" s="144"/>
      <c r="BF127" s="144"/>
      <c r="BG127" s="144"/>
      <c r="BH127" s="144"/>
      <c r="BI127" s="144"/>
      <c r="BJ127" s="144"/>
      <c r="BK127" s="144"/>
      <c r="BL127" s="144"/>
      <c r="BM127" s="144"/>
      <c r="BN127" s="144"/>
      <c r="BO127" s="144"/>
      <c r="BP127" s="144"/>
      <c r="BQ127" s="144"/>
      <c r="BR127" s="144"/>
      <c r="BS127" s="144"/>
      <c r="BT127" s="144"/>
      <c r="BU127" s="144"/>
      <c r="BV127" s="144"/>
      <c r="BW127" s="144"/>
      <c r="BX127" s="144"/>
      <c r="BY127" s="144"/>
      <c r="BZ127" s="144"/>
      <c r="CA127" s="144"/>
      <c r="CB127" s="144"/>
      <c r="CC127" s="144"/>
      <c r="CD127" s="144"/>
      <c r="CE127" s="144"/>
      <c r="CF127" s="144"/>
      <c r="CG127" s="144"/>
      <c r="CH127" s="144"/>
      <c r="CI127" s="144"/>
      <c r="CJ127" s="144"/>
      <c r="CK127" s="144"/>
      <c r="CL127" s="144"/>
      <c r="CM127" s="144"/>
      <c r="CN127" s="144"/>
      <c r="CO127" s="144"/>
      <c r="CP127" s="144"/>
      <c r="CQ127" s="144"/>
      <c r="CR127" s="144"/>
      <c r="CS127" s="144"/>
      <c r="CT127" s="144"/>
      <c r="CU127" s="144"/>
      <c r="CV127" s="144"/>
      <c r="CW127" s="144"/>
      <c r="CX127" s="145"/>
      <c r="CY127" s="139"/>
      <c r="CZ127" s="127">
        <f t="shared" si="2"/>
        <v>0</v>
      </c>
      <c r="DA127" s="129">
        <f t="shared" si="3"/>
        <v>0</v>
      </c>
      <c r="DB127" s="129">
        <f t="shared" si="4"/>
        <v>0</v>
      </c>
      <c r="DC127" s="129">
        <f t="shared" si="5"/>
        <v>0</v>
      </c>
      <c r="DD127" s="129">
        <f t="shared" si="6"/>
        <v>0</v>
      </c>
      <c r="DE127" s="129">
        <f t="shared" si="7"/>
        <v>0</v>
      </c>
      <c r="DF127" s="129">
        <f t="shared" si="8"/>
        <v>0</v>
      </c>
      <c r="DG127" s="129">
        <f t="shared" si="9"/>
        <v>0</v>
      </c>
      <c r="DH127" s="129">
        <f t="shared" si="10"/>
        <v>0</v>
      </c>
      <c r="DI127" s="139"/>
    </row>
    <row r="128" ht="22.5" customHeight="1">
      <c r="A128" s="140" t="str">
        <f t="shared" si="1"/>
        <v>|</v>
      </c>
      <c r="B128" s="154"/>
      <c r="C128" s="155"/>
      <c r="D128" s="143"/>
      <c r="E128" s="143"/>
      <c r="F128" s="143"/>
      <c r="G128" s="156"/>
      <c r="H128" s="156"/>
      <c r="I128" s="156"/>
      <c r="J128" s="145"/>
      <c r="K128" s="156"/>
      <c r="L128" s="156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  <c r="AG128" s="156"/>
      <c r="AH128" s="156"/>
      <c r="AI128" s="156"/>
      <c r="AJ128" s="156"/>
      <c r="AK128" s="156"/>
      <c r="AL128" s="156"/>
      <c r="AM128" s="156"/>
      <c r="AN128" s="156"/>
      <c r="AO128" s="156"/>
      <c r="AP128" s="156"/>
      <c r="AQ128" s="156"/>
      <c r="AR128" s="156"/>
      <c r="AS128" s="156"/>
      <c r="AT128" s="156"/>
      <c r="AU128" s="156"/>
      <c r="AV128" s="156"/>
      <c r="AW128" s="156"/>
      <c r="AX128" s="156"/>
      <c r="AY128" s="156"/>
      <c r="AZ128" s="156"/>
      <c r="BA128" s="156"/>
      <c r="BB128" s="156"/>
      <c r="BC128" s="156"/>
      <c r="BD128" s="156"/>
      <c r="BE128" s="156"/>
      <c r="BF128" s="156"/>
      <c r="BG128" s="156"/>
      <c r="BH128" s="156"/>
      <c r="BI128" s="156"/>
      <c r="BJ128" s="156"/>
      <c r="BK128" s="156"/>
      <c r="BL128" s="156"/>
      <c r="BM128" s="156"/>
      <c r="BN128" s="156"/>
      <c r="BO128" s="156"/>
      <c r="BP128" s="156"/>
      <c r="BQ128" s="156"/>
      <c r="BR128" s="156"/>
      <c r="BS128" s="156"/>
      <c r="BT128" s="156"/>
      <c r="BU128" s="156"/>
      <c r="BV128" s="156"/>
      <c r="BW128" s="156"/>
      <c r="BX128" s="156"/>
      <c r="BY128" s="156"/>
      <c r="BZ128" s="156"/>
      <c r="CA128" s="156"/>
      <c r="CB128" s="156"/>
      <c r="CC128" s="156"/>
      <c r="CD128" s="156"/>
      <c r="CE128" s="156"/>
      <c r="CF128" s="156"/>
      <c r="CG128" s="156"/>
      <c r="CH128" s="156"/>
      <c r="CI128" s="156"/>
      <c r="CJ128" s="156"/>
      <c r="CK128" s="156"/>
      <c r="CL128" s="156"/>
      <c r="CM128" s="156"/>
      <c r="CN128" s="156"/>
      <c r="CO128" s="156"/>
      <c r="CP128" s="156"/>
      <c r="CQ128" s="156"/>
      <c r="CR128" s="156"/>
      <c r="CS128" s="156"/>
      <c r="CT128" s="156"/>
      <c r="CU128" s="156"/>
      <c r="CV128" s="156"/>
      <c r="CW128" s="156"/>
      <c r="CX128" s="145"/>
      <c r="CY128" s="139"/>
      <c r="CZ128" s="127">
        <f t="shared" si="2"/>
        <v>0</v>
      </c>
      <c r="DA128" s="129">
        <f t="shared" si="3"/>
        <v>0</v>
      </c>
      <c r="DB128" s="129">
        <f t="shared" si="4"/>
        <v>0</v>
      </c>
      <c r="DC128" s="129">
        <f t="shared" si="5"/>
        <v>0</v>
      </c>
      <c r="DD128" s="129">
        <f t="shared" si="6"/>
        <v>0</v>
      </c>
      <c r="DE128" s="129">
        <f t="shared" si="7"/>
        <v>0</v>
      </c>
      <c r="DF128" s="129">
        <f t="shared" si="8"/>
        <v>0</v>
      </c>
      <c r="DG128" s="129">
        <f t="shared" si="9"/>
        <v>0</v>
      </c>
      <c r="DH128" s="129">
        <f t="shared" si="10"/>
        <v>0</v>
      </c>
      <c r="DI128" s="139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.38"/>
    <col customWidth="1" min="2" max="2" width="17.88"/>
    <col customWidth="1" min="4" max="4" width="12.88"/>
    <col customWidth="1" min="5" max="5" width="13.38"/>
    <col customWidth="1" min="6" max="6" width="19.88"/>
    <col customWidth="1" min="7" max="7" width="14.88"/>
    <col customWidth="1" min="8" max="8" width="15.13"/>
    <col customWidth="1" min="9" max="9" width="14.0"/>
    <col customWidth="1" min="10" max="10" width="13.5"/>
    <col customWidth="1" min="11" max="11" width="19.63"/>
    <col customWidth="1" min="12" max="12" width="3.13"/>
  </cols>
  <sheetData>
    <row r="1">
      <c r="A1" s="94"/>
      <c r="B1" s="96"/>
      <c r="C1" s="96"/>
      <c r="D1" s="96"/>
      <c r="E1" s="96"/>
      <c r="F1" s="96"/>
      <c r="G1" s="96"/>
      <c r="H1" s="96"/>
      <c r="I1" s="97"/>
      <c r="J1" s="97"/>
      <c r="K1" s="97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</row>
    <row r="2" ht="27.75" customHeight="1">
      <c r="A2" s="94"/>
      <c r="B2" s="98" t="s">
        <v>175</v>
      </c>
      <c r="C2" s="99" t="s">
        <v>179</v>
      </c>
      <c r="D2" s="13"/>
      <c r="E2" s="96"/>
      <c r="F2" s="100" t="s">
        <v>182</v>
      </c>
      <c r="G2" s="12"/>
      <c r="H2" s="12"/>
      <c r="I2" s="12"/>
      <c r="J2" s="12"/>
      <c r="K2" s="13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</row>
    <row r="3">
      <c r="A3" s="94"/>
      <c r="B3" s="96"/>
      <c r="C3" s="96"/>
      <c r="D3" s="96"/>
      <c r="E3" s="96"/>
      <c r="F3" s="96"/>
      <c r="G3" s="96"/>
      <c r="H3" s="96"/>
      <c r="I3" s="97"/>
      <c r="J3" s="97"/>
      <c r="K3" s="97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</row>
    <row r="4">
      <c r="A4" s="94"/>
      <c r="B4" s="96"/>
      <c r="C4" s="96"/>
      <c r="D4" s="96"/>
      <c r="E4" s="96"/>
      <c r="F4" s="96"/>
      <c r="G4" s="96"/>
      <c r="H4" s="96"/>
      <c r="I4" s="97"/>
      <c r="J4" s="97"/>
      <c r="K4" s="97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</row>
    <row r="5" ht="28.5" customHeight="1">
      <c r="A5" s="68"/>
      <c r="B5" s="101" t="s">
        <v>186</v>
      </c>
      <c r="E5" s="101" t="str">
        <f>VLOOKUP($C$2,'1) Respostas ao formulário'!$A:$DH,'1) Respostas ao formulário'!$G$1,FALSE)</f>
        <v>Gaya</v>
      </c>
      <c r="F5" s="102" t="str">
        <f>VLOOKUP($C$2,'1) Respostas ao formulário'!$A:$DH,'1) Respostas ao formulário'!$H$1,FALSE)</f>
        <v>Pitbull</v>
      </c>
      <c r="G5" s="102" t="str">
        <f>VLOOKUP($C$2,'1) Respostas ao formulário'!$A:$DH,'1) Respostas ao formulário'!$I$1,FALSE)</f>
        <v>9 anos</v>
      </c>
      <c r="H5" s="101" t="str">
        <f>VLOOKUP($C$2,'1) Respostas ao formulário'!$A:$DH,'1) Respostas ao formulário'!$J$1,FALSE)</f>
        <v>Sim</v>
      </c>
      <c r="I5" s="103" t="s">
        <v>22</v>
      </c>
      <c r="J5" s="103" t="str">
        <f>VLOOKUP($C$2,'1) Respostas ao formulário'!$A:$DH,'1) Respostas ao formulário'!$C$1,FALSE)</f>
        <v>Exemplo_Desafio2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</row>
    <row r="6">
      <c r="A6" s="21"/>
      <c r="B6" s="97"/>
      <c r="C6" s="104"/>
      <c r="D6" s="105"/>
      <c r="E6" s="104"/>
      <c r="F6" s="105"/>
      <c r="G6" s="105"/>
      <c r="H6" s="105"/>
      <c r="I6" s="105"/>
      <c r="J6" s="105"/>
      <c r="K6" s="105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ht="29.25" customHeight="1">
      <c r="A7" s="68"/>
      <c r="B7" s="106" t="s">
        <v>194</v>
      </c>
      <c r="C7" s="107" t="s">
        <v>154</v>
      </c>
      <c r="D7" s="108" t="s">
        <v>155</v>
      </c>
      <c r="E7" s="107" t="s">
        <v>156</v>
      </c>
      <c r="F7" s="108" t="s">
        <v>157</v>
      </c>
      <c r="G7" s="109" t="s">
        <v>158</v>
      </c>
      <c r="H7" s="108" t="s">
        <v>159</v>
      </c>
      <c r="I7" s="109" t="s">
        <v>160</v>
      </c>
      <c r="J7" s="108" t="s">
        <v>161</v>
      </c>
      <c r="K7" s="109" t="s">
        <v>162</v>
      </c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</row>
    <row r="8" ht="33.0" customHeight="1">
      <c r="A8" s="68"/>
      <c r="B8" s="106" t="s">
        <v>196</v>
      </c>
      <c r="C8" s="111">
        <f>VLOOKUP($C$2,'1) Respostas ao formulário'!$A:$DH,'1) Respostas ao formulário'!CZ1,FALSE)</f>
        <v>38</v>
      </c>
      <c r="D8" s="111">
        <f>VLOOKUP($C$2,'1) Respostas ao formulário'!$A:$DH,'1) Respostas ao formulário'!DA1,FALSE)</f>
        <v>52</v>
      </c>
      <c r="E8" s="111">
        <f>VLOOKUP($C$2,'1) Respostas ao formulário'!$A:$DH,'1) Respostas ao formulário'!DB1,FALSE)</f>
        <v>27</v>
      </c>
      <c r="F8" s="111">
        <f>VLOOKUP($C$2,'1) Respostas ao formulário'!$A:$DH,'1) Respostas ao formulário'!DC1,FALSE)</f>
        <v>32</v>
      </c>
      <c r="G8" s="111">
        <f>VLOOKUP($C$2,'1) Respostas ao formulário'!$A:$DH,'1) Respostas ao formulário'!DD1,FALSE)</f>
        <v>51</v>
      </c>
      <c r="H8" s="111">
        <f>VLOOKUP($C$2,'1) Respostas ao formulário'!$A:$DH,'1) Respostas ao formulário'!DE1,FALSE)</f>
        <v>55</v>
      </c>
      <c r="I8" s="111">
        <f>VLOOKUP($C$2,'1) Respostas ao formulário'!$A:$DH,'1) Respostas ao formulário'!DF1,FALSE)</f>
        <v>50</v>
      </c>
      <c r="J8" s="111">
        <f>VLOOKUP($C$2,'1) Respostas ao formulário'!$A:$DH,'1) Respostas ao formulário'!DG1,FALSE)</f>
        <v>77</v>
      </c>
      <c r="K8" s="111">
        <f>VLOOKUP($C$2,'1) Respostas ao formulário'!$A:$DH,'1) Respostas ao formulário'!DH1,FALSE)</f>
        <v>31</v>
      </c>
      <c r="L8" s="117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</row>
    <row r="9" ht="33.75" customHeight="1">
      <c r="A9" s="68"/>
      <c r="B9" s="106" t="s">
        <v>206</v>
      </c>
      <c r="C9" s="118" t="str">
        <f t="shared" ref="C9:K9" si="1">IF(C8="","",IF(OR(C8&lt;0,C8&gt;100),"Pontuação inválida",IF(C8&lt;=20,"Muito baixo",IF(C8&lt;=40,"Baixo",IF(C8&lt;=60,"Moderado",IF(C8&lt;=80,"Alto","Muito alto"))))))</f>
        <v>Baixo</v>
      </c>
      <c r="D9" s="118" t="str">
        <f t="shared" si="1"/>
        <v>Moderado</v>
      </c>
      <c r="E9" s="118" t="str">
        <f t="shared" si="1"/>
        <v>Baixo</v>
      </c>
      <c r="F9" s="118" t="str">
        <f t="shared" si="1"/>
        <v>Baixo</v>
      </c>
      <c r="G9" s="118" t="str">
        <f t="shared" si="1"/>
        <v>Moderado</v>
      </c>
      <c r="H9" s="118" t="str">
        <f t="shared" si="1"/>
        <v>Moderado</v>
      </c>
      <c r="I9" s="118" t="str">
        <f t="shared" si="1"/>
        <v>Moderado</v>
      </c>
      <c r="J9" s="118" t="str">
        <f t="shared" si="1"/>
        <v>Alto</v>
      </c>
      <c r="K9" s="118" t="str">
        <f t="shared" si="1"/>
        <v>Baixo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</row>
    <row r="10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>
      <c r="A11" s="21"/>
      <c r="B11" s="121" t="s">
        <v>210</v>
      </c>
      <c r="C11" s="12"/>
      <c r="D11" s="12"/>
      <c r="E11" s="12"/>
      <c r="F11" s="13"/>
      <c r="G11" s="21"/>
      <c r="H11" s="122" t="s">
        <v>212</v>
      </c>
      <c r="I11" s="12"/>
      <c r="J11" s="12"/>
      <c r="K11" s="13"/>
      <c r="L11" s="1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>
      <c r="A12" s="21"/>
      <c r="B12" s="125"/>
      <c r="C12" s="126"/>
      <c r="D12" s="126"/>
      <c r="E12" s="126"/>
      <c r="F12" s="128"/>
      <c r="G12" s="21"/>
      <c r="H12" s="130" t="str">
        <f>IF(MAX(G8+H8,J8+K8,C8+E8,F8+I8,D8*2)=J8+K8,"Perfil inseguro e sensível",IF(MAX(G8+H8,J8+K8,C8+E8,F8+I8,D8*2)=G8+H8,"Perfil lúdico e social",IF(MAX(G8+H8,J8+K8,C8+E8,F8+I8,D8*2)=F8+I8,"Perfil territorial e confrontador",IF(MAX(G8+H8,J8+K8,C8+E8,F8+I8,D8*2)=C8+E8,"Perfil predatório e perseguidor","Perfil controlador de movimento"))))</f>
        <v>Perfil inseguro e sensível</v>
      </c>
      <c r="I12" s="2"/>
      <c r="J12" s="2"/>
      <c r="K12" s="3"/>
      <c r="L12" s="13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>
      <c r="A13" s="21"/>
      <c r="B13" s="132" t="s">
        <v>213</v>
      </c>
      <c r="D13" s="133" t="str">
        <f t="array" ref="D13">IF(COUNT(C8:K8)&lt;9,"",INDEX(C7:K7,1,MATCH(MAX(C8:K8),C8:K8,0)))</f>
        <v>FUGA</v>
      </c>
      <c r="F13" s="5"/>
      <c r="G13" s="21"/>
      <c r="H13" s="6"/>
      <c r="I13" s="7"/>
      <c r="J13" s="7"/>
      <c r="K13" s="8"/>
      <c r="L13" s="13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>
      <c r="A14" s="21"/>
      <c r="B14" s="134"/>
      <c r="C14" s="135"/>
      <c r="D14" s="135"/>
      <c r="E14" s="135"/>
      <c r="F14" s="136"/>
      <c r="G14" s="21"/>
      <c r="H14" s="21"/>
      <c r="I14" s="21"/>
      <c r="J14" s="21"/>
      <c r="K14" s="21"/>
      <c r="L14" s="13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>
      <c r="A15" s="21"/>
      <c r="B15" s="125" t="str">
        <f>IF(H12="","",
"Este cão apresenta como perfil predominante "&amp;LOWER(H12)&amp;
IF(OR(H16="",H16=H12),".",
", acompanhado de características secundárias relacionadas ao perfil "&amp;LOWER(H16)&amp;".")
&amp;
IF(D13="","",
" O drive que aparece com maior intensidade é "&amp;LOWER(D13)&amp;", o que ajuda a compreender quais estímulos tendem a despertar maior interesse ou provocar respostas mais intensas no dia a dia."
)
&amp;
CHAR(10)&amp;CHAR(10)&amp;
IF(AND(G8&gt;=61,H8&gt;=61),
"As pontuações elevadas em brincadeira e matilha indicam interesse importante por interação, proximidade social e participação em atividades com pessoas ou outros cães. Na prática, é necessário observar se essas aproximações acontecem de maneira equilibrad"&amp;"a, se o cão respeita pausas e se consegue compreender os sinais de interrupção apresentados pelos demais.",
"")
&amp;
IF(AND(G8&gt;=61,OR(J8&gt;=61,K8&gt;=61)),
CHAR(10)&amp;CHAR(10)&amp;
"Apesar do interesse por brincadeiras ou aproximações, os índices elevados de fuga ou congelamento sugerem que o cão pode se desorganizar quando a interação se torna intensa, imprevisível ou quando não consegue se afastar. Ele pode demonstrar vontade de pa"&amp;"rticipar e, ao mesmo tempo, apresentar desconforto diante de determinadas aproximações.",
"")
&amp;
IF(AND(J8&gt;=61,K8&gt;=61),
CHAR(10)&amp;CHAR(10)&amp;
"A combinação entre fuga e congelamento indica insegurança relevante. Diante de situações desconfortáveis, o cão pode alternar entre tentar se afastar e permanecer imóvel. A ausência de movimento não deve ser interpretada automaticamente como tranquilidade"&amp;", aceitação ou adaptação.",
IF(OR(J8&gt;=61,K8&gt;=61),
CHAR(10)&amp;CHAR(10)&amp;
"Há sinais relevantes de insegurança. Durante a avaliação presencial, será importante observar a possibilidade de afastamento, o tempo necessário para explorar o ambiente e sua capacidade de recuperação emocional após situações desconfortáveis.",
""))
&amp;
IF(I8&gt;=61,
CHAR(10)&amp;CHAR(10)&amp;
"A pontuação elevada em luta sugere maior disposição para enfrentar conflitos, sustentar disputas ou responder de forma impositiva quando frustrado ou pressionado. Isso não determina que o cão será agressivo, mas exige atenção especial à comunicação social"&amp;", à manipulação, à posse de recursos e à possibilidade de escalada de conflitos.",
"")
&amp;
IF(AND(C8&gt;=61,E8&gt;=61),
CHAR(10)&amp;CHAR(10)&amp;
"A combinação elevada entre caça e predação demonstra forte interesse por exploração, perseguição, captura e estímulos em movimento. Durante a avaliação prática, será necessário observar fixação, intensidade da perseguição, capacidade de interrupção e segu"&amp;"rança na convivência com cães menores ou mais vulneráveis.",
IF(C8&gt;=61,
CHAR(10)&amp;CHAR(10)&amp;
"O drive de caça elevado indica forte interesse por cheiros, rastros e exploração do ambiente. Atividades de faro podem ser motivadoras, mas também será importante verificar se o cão consegue interromper a investigação e voltar sua atenção para o condutor.",
""))
&amp;
IF(D8&gt;=61,
CHAR(10)&amp;CHAR(10)&amp;
"A pontuação elevada em pastoreio indica atenção intensa aos movimentos de pessoas, cães ou grupos. Esse comportamento pode aparecer por meio de perseguições, bloqueios de passagem, mordiscadas ou tentativas de controlar a movimentação dos demais.",
"")
&amp;
IF(F8&gt;=61,
CHAR(10)&amp;CHAR(10)&amp;
"O territorialismo elevado sugere maior vigilância e sensibilidade à aproximação de pessoas ou animais em espaços considerados importantes. A avaliação deve incluir a observação em entradas, portões, portas, corredores e momentos de circulação.",
"")
&amp;
IF(AND(I8&lt;=20,E8&lt;=20),
CHAR(10)&amp;CHAR(10)&amp;
"As pontuações muito baixas em luta e predação indicam que confronto direto e comportamentos de captura não aparecem como tendências predominantes nas respostas fornecidas. Ainda assim, esses resultados não eliminam riscos e precisam ser confirmados na ava"&amp;"liação presencial.",
"")
&amp;
CHAR(10)&amp;CHAR(10)&amp;
"Esta análise representa uma hipótese comportamental construída a partir das respostas da anamnese. Ela deve ser comparada com a ficha de avaliação presencial, com o contexto em que os comportamentos aparecem e com a análise técnica do avaliador."
)</f>
        <v>Este cão apresenta como perfil predominante perfil inseguro e sensível, acompanhado de características secundárias relacionadas ao perfil nenhuma tendência secundária elevada identificada. O drive que aparece com maior intensidade é fuga, o que ajuda a compreender quais estímulos tendem a despertar maior interesse ou provocar respostas mais intensas no dia a dia.
Há sinais relevantes de insegurança. Durante a avaliação presencial, será importante observar a possibilidade de afastamento, o tempo necessário para explorar o ambiente e sua capacidade de recuperação emocional após situações desconfortáveis.
Esta análise representa uma hipótese comportamental construída a partir das respostas da anamnese. Ela deve ser comparada com a ficha de avaliação presencial, com o contexto em que os comportamentos aparecem e com a análise técnica do avaliador.</v>
      </c>
      <c r="C15" s="2"/>
      <c r="D15" s="2"/>
      <c r="E15" s="2"/>
      <c r="F15" s="3"/>
      <c r="G15" s="21"/>
      <c r="H15" s="122" t="s">
        <v>219</v>
      </c>
      <c r="I15" s="12"/>
      <c r="J15" s="12"/>
      <c r="K15" s="13"/>
      <c r="L15" s="13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>
      <c r="A16" s="21"/>
      <c r="B16" s="4"/>
      <c r="F16" s="5"/>
      <c r="G16" s="21"/>
      <c r="H16" s="137" t="str">
        <f>IF(AND(J8&gt;=41,K8&gt;=41),"Tendência secundária à insegurança, com possibilidade de fuga ou congelamento",IF(AND(G8&gt;=61,H8&gt;=41),"Tendência secundária lúdica e social",IF(AND(C8&gt;=61,E8&gt;=61),"Tendência secundária predatória",IF(AND(F8&gt;=61,I8&gt;=41),"Tendência secundária territorial ou confrontadora",IF(D8&gt;=61,"Tendência secundária a controlar movimentos","Nenhuma tendência secundária elevada identificada")))))</f>
        <v>Nenhuma tendência secundária elevada identificada</v>
      </c>
      <c r="I16" s="2"/>
      <c r="J16" s="2"/>
      <c r="K16" s="3"/>
      <c r="L16" s="13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>
      <c r="A17" s="21"/>
      <c r="B17" s="4"/>
      <c r="F17" s="5"/>
      <c r="G17" s="21"/>
      <c r="H17" s="4"/>
      <c r="K17" s="5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>
      <c r="A18" s="21"/>
      <c r="B18" s="4"/>
      <c r="F18" s="5"/>
      <c r="G18" s="21"/>
      <c r="H18" s="6"/>
      <c r="I18" s="7"/>
      <c r="J18" s="7"/>
      <c r="K18" s="8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>
      <c r="A19" s="21"/>
      <c r="B19" s="4"/>
      <c r="F19" s="5"/>
      <c r="G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>
      <c r="A20" s="21"/>
      <c r="B20" s="4"/>
      <c r="F20" s="5"/>
      <c r="G20" s="21"/>
      <c r="H20" s="138" t="s">
        <v>220</v>
      </c>
      <c r="I20" s="12"/>
      <c r="J20" s="12"/>
      <c r="K20" s="13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>
      <c r="A21" s="21"/>
      <c r="B21" s="4"/>
      <c r="F21" s="5"/>
      <c r="G21" s="21"/>
      <c r="H21" s="137" t="str">
        <f>IF(H12="","",
IF(H12="LÚDICO E SOCIAL",
"Este cão demonstra forte interesse por brincadeiras, proximidade e interação social. Durante a avaliação, observe a intensidade das interações, o respeito às pausas e a capacidade de perceber os sinais de pessoas e outros cães.",
IF(H12="INSEGURO E EVITATIVO",
"Este cão tende a apresentar insegurança diante de situações novas ou desconfortáveis, podendo tentar se afastar, evitar aproximações ou permanecer imóvel. A avaliação deve respeitar seu tempo e observar sua recuperação emocional.",
IF(H12="TERRITORIAL E VIGILANTE",
"Este cão tende a permanecer atento ao ambiente e pode reagir diante da aproximação de pessoas ou animais aos espaços que considera importantes. Observe principalmente entradas, portas, portões e circulação no ambiente.",
IF(H12="EXPLORATÓRIO E INVESTIGATIVO",
"Este cão demonstra forte interesse por cheiros, rastros e exploração do ambiente. Durante a avaliação, observe sua capacidade de interromper a investigação, responder ao condutor e se adaptar às atividades propostas.",
IF(H12="CONTROLADOR DE MOVIMENTO",
"Este cão tende a acompanhar e tentar controlar a movimentação de pessoas ou animais. Durante a convivência, observe perseguições, bloqueios de passagem, mordiscadas e interferências nas brincadeiras dos outros cães.",
IF(H12="CONFRONTADOR E IMPOSITIVO",
"Este cão pode apresentar maior disposição para enfrentar conflitos, sustentar disputas ou responder de forma impositiva. A avaliação deve priorizar a segurança, a tolerância à frustração e a qualidade da comunicação social.",
IF(H12="PREDATÓRIO",
"Este cão demonstra interesse elevado por perseguição, captura e estímulos em movimento. A avaliação deve observar fixação, intensidade, capacidade de interrupção e segurança na convivência com cães menores ou vulneráveis.",
"O perfil deste cão apresenta características combinadas que precisam ser analisadas junto às respostas da anamnese e ao comportamento observado presencialmente."
)))))))
&amp;
IF(OR(H16="",H16=H12),"",
" Como característica secundária, apresenta um perfil "&amp;LOWER(H16)&amp;", que também deve ser considerado durante a avaliação prática."
))</f>
        <v>O perfil deste cão apresenta características combinadas que precisam ser analisadas junto às respostas da anamnese e ao comportamento observado presencialmente. Como característica secundária, apresenta um perfil nenhuma tendência secundária elevada identificada, que também deve ser considerado durante a avaliação prática.</v>
      </c>
      <c r="I21" s="2"/>
      <c r="J21" s="2"/>
      <c r="K21" s="3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>
      <c r="A22" s="21"/>
      <c r="B22" s="4"/>
      <c r="F22" s="5"/>
      <c r="G22" s="21"/>
      <c r="H22" s="4"/>
      <c r="K22" s="5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>
      <c r="A23" s="21"/>
      <c r="B23" s="4"/>
      <c r="F23" s="5"/>
      <c r="G23" s="21"/>
      <c r="H23" s="4"/>
      <c r="K23" s="5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>
      <c r="A24" s="21"/>
      <c r="B24" s="4"/>
      <c r="F24" s="5"/>
      <c r="G24" s="21"/>
      <c r="H24" s="4"/>
      <c r="K24" s="5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>
      <c r="A25" s="21"/>
      <c r="B25" s="4"/>
      <c r="F25" s="5"/>
      <c r="G25" s="21"/>
      <c r="H25" s="4"/>
      <c r="K25" s="5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>
      <c r="A26" s="21"/>
      <c r="B26" s="4"/>
      <c r="F26" s="5"/>
      <c r="G26" s="21"/>
      <c r="H26" s="4"/>
      <c r="K26" s="5"/>
      <c r="L26" s="94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>
      <c r="A27" s="21"/>
      <c r="B27" s="4"/>
      <c r="F27" s="5"/>
      <c r="G27" s="21"/>
      <c r="H27" s="4"/>
      <c r="K27" s="5"/>
      <c r="L27" s="94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>
      <c r="A28" s="21"/>
      <c r="B28" s="4"/>
      <c r="F28" s="5"/>
      <c r="G28" s="21"/>
      <c r="H28" s="6"/>
      <c r="I28" s="7"/>
      <c r="J28" s="7"/>
      <c r="K28" s="8"/>
      <c r="L28" s="94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>
      <c r="A29" s="21"/>
      <c r="B29" s="4"/>
      <c r="F29" s="5"/>
      <c r="G29" s="21"/>
      <c r="L29" s="94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>
      <c r="A30" s="21"/>
      <c r="B30" s="4"/>
      <c r="F30" s="5"/>
      <c r="G30" s="21"/>
      <c r="H30" s="146" t="s">
        <v>222</v>
      </c>
      <c r="I30" s="7"/>
      <c r="J30" s="7"/>
      <c r="K30" s="8"/>
      <c r="L30" s="94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>
      <c r="A31" s="21"/>
      <c r="B31" s="4"/>
      <c r="F31" s="5"/>
      <c r="G31" s="21"/>
      <c r="H31" s="147" t="str">
        <f>IF(COUNT(C8:K8)&lt;9,"",
IF(I8&gt;=61,
"• Avaliar com cautela a tolerância à frustração, a manipulação, a posse de recursos e a possibilidade de escalada de conflitos."&amp;CHAR(10),
"")
&amp;
IF(AND(J8&gt;=61,K8&gt;=61),
"• Garantir possibilidade de afastamento e não interpretar imobilidade como tranquilidade ou aceitação."&amp;CHAR(10)&amp;
"• Observar o tempo necessário para o cão recuperar o equilíbrio emocional após situações desconfortáveis."&amp;CHAR(10),
IF(J8&gt;=61,
"• Permitir que o cão se afaste quando demonstrar desconforto e observar tentativas de fuga ou esquiva."&amp;CHAR(10),
IF(K8&gt;=61,
"• Não interpretar o congelamento como calma. Observar tensão corporal, imobilidade e dificuldade de responder."&amp;CHAR(10),
"")))
&amp;
IF(AND(G8&gt;=61,OR(J8&gt;=61,K8&gt;=61)),
"• Realizar aproximações e inserções em grupo de forma gradual, pois o interesse por interação pode coexistir com insegurança."&amp;CHAR(10),
"")
&amp;
IF(AND(C8&gt;=61,E8&gt;=61),
"• Avaliar perseguição, fixação em estímulos, intensidade da mordida e capacidade de interromper o comportamento."&amp;CHAR(10)&amp;
"• Ter atenção especial na convivência com cães menores, filhotes ou indivíduos mais vulneráveis."&amp;CHAR(10),
IF(E8&gt;=61,
"• Observar perseguição, captura, fixação em movimento e capacidade de interrupção."&amp;CHAR(10),
IF(C8&gt;=61,
"• Observar se o cão consegue interromper a exploração e redirecionar a atenção para o condutor."&amp;CHAR(10),
"")))
&amp;
IF(D8&gt;=61,
"• Monitorar perseguições, bloqueios de passagem, mordiscadas e tentativas de controlar a movimentação de pessoas ou cães."&amp;CHAR(10),
"")
&amp;
IF(F8&gt;=61,
"• Avaliar o comportamento em portas, portões, corredores, entradas e durante a aproximação de pessoas ou cães."&amp;CHAR(10),
"")
&amp;
IF(G8&gt;=61,
"• Observar a intensidade das brincadeiras, o respeito às pausas e a resposta aos sinais de interrupção dos outros cães."&amp;CHAR(10),
"")
&amp;
IF(H8&gt;=61,
"• Avaliar a autonomia do cão e sua reação quando precisa permanecer separado de pessoas ou do grupo."&amp;CHAR(10),
"")
&amp;
IF(AND(I8&lt;61,J8&lt;61,K8&lt;61,C8&lt;61,D8&lt;61,E8&lt;61,F8&lt;61,G8&lt;61,H8&lt;61),
"• Nenhum ponto crítico se destacou exclusivamente pelas respostas da anamnese. Confirmar o perfil durante a avaliação presencial.",
"")
)</f>
        <v>• Permitir que o cão se afaste quando demonstrar desconforto e observar tentativas de fuga ou esquiva.
</v>
      </c>
      <c r="I31" s="2"/>
      <c r="J31" s="2"/>
      <c r="K31" s="3"/>
      <c r="L31" s="94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>
      <c r="A32" s="21"/>
      <c r="B32" s="4"/>
      <c r="F32" s="5"/>
      <c r="G32" s="21"/>
      <c r="H32" s="4"/>
      <c r="K32" s="5"/>
      <c r="L32" s="94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>
      <c r="A33" s="21"/>
      <c r="B33" s="4"/>
      <c r="F33" s="5"/>
      <c r="G33" s="21"/>
      <c r="H33" s="4"/>
      <c r="K33" s="5"/>
      <c r="L33" s="94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>
      <c r="A34" s="21"/>
      <c r="B34" s="4"/>
      <c r="F34" s="5"/>
      <c r="G34" s="21"/>
      <c r="H34" s="4"/>
      <c r="K34" s="5"/>
      <c r="L34" s="94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>
      <c r="A35" s="21"/>
      <c r="B35" s="4"/>
      <c r="F35" s="5"/>
      <c r="G35" s="21"/>
      <c r="H35" s="4"/>
      <c r="K35" s="5"/>
      <c r="L35" s="94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>
      <c r="A36" s="21"/>
      <c r="B36" s="4"/>
      <c r="F36" s="5"/>
      <c r="G36" s="21"/>
      <c r="H36" s="4"/>
      <c r="K36" s="5"/>
      <c r="L36" s="94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>
      <c r="A37" s="21"/>
      <c r="B37" s="4"/>
      <c r="F37" s="5"/>
      <c r="G37" s="21"/>
      <c r="H37" s="4"/>
      <c r="K37" s="5"/>
      <c r="L37" s="94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>
      <c r="A38" s="21"/>
      <c r="B38" s="4"/>
      <c r="F38" s="5"/>
      <c r="G38" s="21"/>
      <c r="H38" s="4"/>
      <c r="K38" s="5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>
      <c r="A39" s="21"/>
      <c r="B39" s="4"/>
      <c r="F39" s="5"/>
      <c r="G39" s="21"/>
      <c r="H39" s="6"/>
      <c r="I39" s="7"/>
      <c r="J39" s="7"/>
      <c r="K39" s="8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>
      <c r="A40" s="21"/>
      <c r="B40" s="4"/>
      <c r="F40" s="5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>
      <c r="A41" s="21"/>
      <c r="B41" s="4"/>
      <c r="F41" s="5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>
      <c r="A42" s="21"/>
      <c r="B42" s="4"/>
      <c r="F42" s="5"/>
      <c r="G42" s="21"/>
      <c r="H42" s="148" t="s">
        <v>223</v>
      </c>
      <c r="I42" s="2"/>
      <c r="J42" s="2"/>
      <c r="K42" s="3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>
      <c r="A43" s="21"/>
      <c r="B43" s="4"/>
      <c r="F43" s="5"/>
      <c r="G43" s="21"/>
      <c r="H43" s="4"/>
      <c r="K43" s="5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>
      <c r="A44" s="21"/>
      <c r="B44" s="6"/>
      <c r="C44" s="7"/>
      <c r="D44" s="7"/>
      <c r="E44" s="7"/>
      <c r="F44" s="8"/>
      <c r="G44" s="21"/>
      <c r="H44" s="6"/>
      <c r="I44" s="7"/>
      <c r="J44" s="7"/>
      <c r="K44" s="8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>
      <c r="A46" s="21"/>
      <c r="B46" s="21"/>
      <c r="C46" s="21"/>
      <c r="D46" s="21"/>
      <c r="E46" s="21"/>
      <c r="F46" s="21"/>
      <c r="G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</row>
  </sheetData>
  <mergeCells count="17">
    <mergeCell ref="B13:C13"/>
    <mergeCell ref="D13:F13"/>
    <mergeCell ref="B15:F44"/>
    <mergeCell ref="H15:K15"/>
    <mergeCell ref="H16:K18"/>
    <mergeCell ref="H20:K20"/>
    <mergeCell ref="H21:K28"/>
    <mergeCell ref="H30:K30"/>
    <mergeCell ref="H31:K39"/>
    <mergeCell ref="H42:K44"/>
    <mergeCell ref="C2:D2"/>
    <mergeCell ref="F2:K2"/>
    <mergeCell ref="B5:D5"/>
    <mergeCell ref="J5:K5"/>
    <mergeCell ref="B11:F11"/>
    <mergeCell ref="H11:K11"/>
    <mergeCell ref="H12:K13"/>
  </mergeCells>
  <dataValidations>
    <dataValidation type="list" allowBlank="1" showErrorMessage="1" sqref="C2">
      <formula1>'1) Respostas ao formulário'!$A$3:$A$1023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25"/>
    <col customWidth="1" min="2" max="2" width="58.38"/>
    <col customWidth="1" min="3" max="3" width="17.38"/>
    <col customWidth="1" min="4" max="4" width="2.38"/>
    <col customWidth="1" min="5" max="6" width="12.88"/>
    <col customWidth="1" min="7" max="7" width="17.88"/>
    <col customWidth="1" min="8" max="8" width="2.5"/>
    <col customWidth="1" min="9" max="9" width="1.38"/>
    <col customWidth="1" min="10" max="10" width="1.75"/>
    <col customWidth="1" min="11" max="25" width="12.88"/>
  </cols>
  <sheetData>
    <row r="1">
      <c r="A1" s="14"/>
      <c r="B1" s="14"/>
      <c r="C1" s="16"/>
      <c r="D1" s="14"/>
      <c r="E1" s="14"/>
      <c r="F1" s="14"/>
      <c r="G1" s="14"/>
      <c r="H1" s="14"/>
      <c r="I1" s="17"/>
      <c r="J1" s="17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>
      <c r="A2" s="14"/>
      <c r="B2" s="19" t="s">
        <v>3</v>
      </c>
      <c r="C2" s="13"/>
      <c r="D2" s="14"/>
      <c r="E2" s="20" t="s">
        <v>4</v>
      </c>
      <c r="F2" s="2"/>
      <c r="G2" s="3"/>
      <c r="H2" s="14"/>
      <c r="I2" s="22"/>
      <c r="J2" s="22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>
      <c r="A3" s="14"/>
      <c r="B3" s="23" t="s">
        <v>5</v>
      </c>
      <c r="C3" s="25" t="s">
        <v>6</v>
      </c>
      <c r="D3" s="14"/>
      <c r="E3" s="33" t="str">
        <f>IF(COUNT(C13,C14,C15,C16,C17,C20,C21,C22,C23,C24,C27,C28,C29,C30,C33,C34,C35,C36,C37,C40,C41,C42,C43,C44,C45,C46)&lt;26,"",REPT("★",ROUND(AVERAGE(C13,C14,C15,C16,C17,C20,C21,C22,C23,C24,C27,C28,C29,C30,C33,C34,C35,C36,C37,C40,C41,C42,C43,C44,C45,C46),0))&amp;REPT("☆",5-ROUND(AVERAGE(C13,C14,C15,C16,C17,C20,C21,C22,C23,C24,C27,C28,C29,C30,C33,C34,C35,C36,C37,C40,C41,C42,C43,C44,C45,C46),0)))</f>
        <v>★★★☆☆</v>
      </c>
      <c r="F3" s="14"/>
      <c r="G3" s="34"/>
      <c r="H3" s="14"/>
      <c r="I3" s="35"/>
      <c r="J3" s="35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>
      <c r="A4" s="14"/>
      <c r="B4" s="23" t="s">
        <v>22</v>
      </c>
      <c r="C4" s="25" t="s">
        <v>24</v>
      </c>
      <c r="D4" s="14"/>
      <c r="E4" s="45" t="str">
        <f>IF(COUNT(C13,C14,C15,C16,C17,C20,C21,C22,C23,C24,C27,C28,C29,C30,C33,C34,C35,C36,C37,C40,C41,C42,C43,C44,C45,C46)&lt;26,"",REPT("★",ROUND(AVERAGE(C13,C14,C15,C16,C17,C20,C21,C22,C23,C24,C27,C28,C29,C30,C33,C34,C35,C36,C37,C40,C41,C42,C43,C44,C45,C46),0))&amp;REPT("☆",5-ROUND(AVERAGE(C13,C14,C15,C16,C17,C20,C21,C22,C23,C24,C27,C28,C29,C30,C33,C34,C35,C36,C37,C40,C41,C42,C43,C44,C45,C46),0)))</f>
        <v>★★★☆☆</v>
      </c>
      <c r="G4" s="5"/>
      <c r="H4" s="14"/>
      <c r="I4" s="35"/>
      <c r="J4" s="35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>
      <c r="A5" s="14"/>
      <c r="B5" s="23" t="s">
        <v>48</v>
      </c>
      <c r="C5" s="47">
        <v>46260.0</v>
      </c>
      <c r="D5" s="14"/>
      <c r="E5" s="45" t="str">
        <f>IF(OR(COUNT(C20:C24)&lt;5,C33="",C34="",COUNT(C40:C46)&lt;7,E3=""),"",
IF(OR(AVERAGE(C20:C24)&lt;2,C33&lt;=2,C34&lt;=2),
"🔴 REPROVAÇÃO RECOMENDADA",
IF(OR(AVERAGE(C40:C46)&lt;2,E3&lt;3),
"🟠 NOVA AVALIAÇÃO RECOMENDADA",
IF(OR(AVERAGE(C20:C24)&lt;3,AVERAGE(C40:C46)&lt;3,E3&lt;4),
"🟡 APROVADO COM RESTRIÇÕES",
"🟢 APROVADO")))
)</f>
        <v>🟢 APROVADO</v>
      </c>
      <c r="G5" s="5"/>
      <c r="H5" s="14"/>
      <c r="I5" s="35"/>
      <c r="J5" s="35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>
      <c r="A6" s="14"/>
      <c r="B6" s="23" t="s">
        <v>66</v>
      </c>
      <c r="C6" s="25" t="s">
        <v>67</v>
      </c>
      <c r="D6" s="14"/>
      <c r="E6" s="4"/>
      <c r="G6" s="5"/>
      <c r="H6" s="14"/>
      <c r="I6" s="35"/>
      <c r="J6" s="35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>
      <c r="A7" s="14"/>
      <c r="B7" s="23" t="s">
        <v>70</v>
      </c>
      <c r="C7" s="25" t="s">
        <v>71</v>
      </c>
      <c r="D7" s="14"/>
      <c r="E7" s="6"/>
      <c r="F7" s="7"/>
      <c r="G7" s="8"/>
      <c r="H7" s="14"/>
      <c r="I7" s="49"/>
      <c r="J7" s="49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>
      <c r="A8" s="14"/>
      <c r="B8" s="52"/>
      <c r="C8" s="53"/>
      <c r="D8" s="14"/>
      <c r="E8" s="14"/>
      <c r="F8" s="14"/>
      <c r="G8" s="14"/>
      <c r="H8" s="14"/>
      <c r="I8" s="9"/>
      <c r="J8" s="9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>
      <c r="A9" s="17"/>
      <c r="B9" s="57" t="s">
        <v>77</v>
      </c>
      <c r="C9" s="12"/>
      <c r="D9" s="12"/>
      <c r="E9" s="12"/>
      <c r="F9" s="12"/>
      <c r="G9" s="13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>
      <c r="A10" s="17"/>
      <c r="B10" s="60" t="s">
        <v>89</v>
      </c>
      <c r="C10" s="12"/>
      <c r="D10" s="12"/>
      <c r="E10" s="12"/>
      <c r="F10" s="12"/>
      <c r="G10" s="1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>
      <c r="A11" s="17"/>
      <c r="B11" s="61"/>
      <c r="C11" s="63"/>
      <c r="D11" s="17"/>
      <c r="E11" s="66"/>
      <c r="F11" s="66"/>
      <c r="G11" s="66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>
      <c r="A12" s="14"/>
      <c r="B12" s="19" t="s">
        <v>97</v>
      </c>
      <c r="C12" s="72" t="str">
        <f>IF(COUNT(C13:C17)&lt;5,"",REPT("★",ROUND(AVERAGE(C13:C17),0))&amp;REPT("☆",5-ROUND(AVERAGE(C13:C17),0)))</f>
        <v>★★★☆☆</v>
      </c>
      <c r="D12" s="14"/>
      <c r="E12" s="73" t="s">
        <v>87</v>
      </c>
      <c r="F12" s="12"/>
      <c r="G12" s="13"/>
      <c r="H12" s="14"/>
      <c r="I12" s="17"/>
      <c r="J12" s="17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>
      <c r="A13" s="14"/>
      <c r="B13" s="23" t="s">
        <v>109</v>
      </c>
      <c r="C13" s="25">
        <v>3.0</v>
      </c>
      <c r="D13" s="14"/>
      <c r="E13" s="77" t="s">
        <v>113</v>
      </c>
      <c r="F13" s="2"/>
      <c r="G13" s="3"/>
      <c r="H13" s="14"/>
      <c r="I13" s="17"/>
      <c r="J13" s="17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>
      <c r="A14" s="14"/>
      <c r="B14" s="23" t="s">
        <v>116</v>
      </c>
      <c r="C14" s="25">
        <v>3.0</v>
      </c>
      <c r="D14" s="14"/>
      <c r="E14" s="4"/>
      <c r="G14" s="5"/>
      <c r="H14" s="14"/>
      <c r="I14" s="17"/>
      <c r="J14" s="17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>
      <c r="A15" s="14"/>
      <c r="B15" s="23" t="s">
        <v>119</v>
      </c>
      <c r="C15" s="25">
        <v>3.0</v>
      </c>
      <c r="D15" s="14"/>
      <c r="E15" s="4"/>
      <c r="G15" s="5"/>
      <c r="H15" s="14"/>
      <c r="I15" s="17"/>
      <c r="J15" s="17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>
      <c r="A16" s="14"/>
      <c r="B16" s="23" t="s">
        <v>122</v>
      </c>
      <c r="C16" s="25">
        <v>3.0</v>
      </c>
      <c r="D16" s="14"/>
      <c r="E16" s="4"/>
      <c r="G16" s="5"/>
      <c r="H16" s="14"/>
      <c r="I16" s="17"/>
      <c r="J16" s="17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>
      <c r="A17" s="14"/>
      <c r="B17" s="23" t="s">
        <v>124</v>
      </c>
      <c r="C17" s="25">
        <v>5.0</v>
      </c>
      <c r="D17" s="14"/>
      <c r="E17" s="6"/>
      <c r="F17" s="7"/>
      <c r="G17" s="8"/>
      <c r="H17" s="14"/>
      <c r="I17" s="17"/>
      <c r="J17" s="17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>
      <c r="A18" s="14"/>
      <c r="B18" s="52"/>
      <c r="C18" s="53"/>
      <c r="D18" s="14"/>
      <c r="E18" s="14"/>
      <c r="F18" s="14"/>
      <c r="G18" s="14"/>
      <c r="H18" s="14"/>
      <c r="I18" s="17"/>
      <c r="J18" s="17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>
      <c r="A19" s="14"/>
      <c r="B19" s="19" t="s">
        <v>129</v>
      </c>
      <c r="C19" s="72" t="str">
        <f>IF(COUNT(C20:C24)&lt;5,"",REPT("★",ROUND(AVERAGE(C20:C24),0))&amp;REPT("☆",5-ROUND(AVERAGE(C20:C24),0)))</f>
        <v>★★★☆☆</v>
      </c>
      <c r="D19" s="14"/>
      <c r="E19" s="73" t="s">
        <v>87</v>
      </c>
      <c r="F19" s="12"/>
      <c r="G19" s="13"/>
      <c r="H19" s="14"/>
      <c r="I19" s="17"/>
      <c r="J19" s="17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>
      <c r="A20" s="14"/>
      <c r="B20" s="23" t="s">
        <v>136</v>
      </c>
      <c r="C20" s="25">
        <v>3.0</v>
      </c>
      <c r="D20" s="14"/>
      <c r="E20" s="77" t="s">
        <v>137</v>
      </c>
      <c r="F20" s="2"/>
      <c r="G20" s="3"/>
      <c r="H20" s="14"/>
      <c r="I20" s="17"/>
      <c r="J20" s="17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>
      <c r="A21" s="14"/>
      <c r="B21" s="23" t="s">
        <v>141</v>
      </c>
      <c r="C21" s="25">
        <v>3.0</v>
      </c>
      <c r="D21" s="14"/>
      <c r="E21" s="4"/>
      <c r="G21" s="5"/>
      <c r="H21" s="14"/>
      <c r="I21" s="17"/>
      <c r="J21" s="17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>
      <c r="A22" s="14"/>
      <c r="B22" s="23" t="s">
        <v>144</v>
      </c>
      <c r="C22" s="25">
        <v>3.0</v>
      </c>
      <c r="D22" s="14"/>
      <c r="E22" s="4"/>
      <c r="G22" s="5"/>
      <c r="H22" s="14"/>
      <c r="I22" s="17"/>
      <c r="J22" s="17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>
      <c r="A23" s="14"/>
      <c r="B23" s="23" t="s">
        <v>147</v>
      </c>
      <c r="C23" s="25">
        <v>3.0</v>
      </c>
      <c r="D23" s="14"/>
      <c r="E23" s="4"/>
      <c r="G23" s="5"/>
      <c r="H23" s="14"/>
      <c r="I23" s="17"/>
      <c r="J23" s="17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>
      <c r="A24" s="14"/>
      <c r="B24" s="23" t="s">
        <v>150</v>
      </c>
      <c r="C24" s="25">
        <v>3.0</v>
      </c>
      <c r="D24" s="14"/>
      <c r="E24" s="6"/>
      <c r="F24" s="7"/>
      <c r="G24" s="8"/>
      <c r="H24" s="14"/>
      <c r="I24" s="17"/>
      <c r="J24" s="17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>
      <c r="A25" s="14"/>
      <c r="B25" s="52"/>
      <c r="C25" s="53"/>
      <c r="D25" s="14"/>
      <c r="E25" s="14"/>
      <c r="F25" s="14"/>
      <c r="G25" s="14"/>
      <c r="H25" s="14"/>
      <c r="I25" s="17"/>
      <c r="J25" s="17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>
      <c r="A26" s="14"/>
      <c r="B26" s="19" t="s">
        <v>153</v>
      </c>
      <c r="C26" s="72" t="str">
        <f>IF(COUNT(C27:C30)&lt;4,"",REPT("★",ROUND(AVERAGE(C27:C30),0))&amp;REPT("☆",5-ROUND(AVERAGE(C27:C30),0)))</f>
        <v>★★★★☆</v>
      </c>
      <c r="D26" s="14"/>
      <c r="E26" s="73" t="s">
        <v>87</v>
      </c>
      <c r="F26" s="12"/>
      <c r="G26" s="13"/>
      <c r="H26" s="14"/>
      <c r="I26" s="17"/>
      <c r="J26" s="17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>
      <c r="A27" s="14"/>
      <c r="B27" s="23" t="s">
        <v>163</v>
      </c>
      <c r="C27" s="25">
        <v>3.0</v>
      </c>
      <c r="D27" s="14"/>
      <c r="E27" s="77" t="s">
        <v>164</v>
      </c>
      <c r="F27" s="2"/>
      <c r="G27" s="3"/>
      <c r="H27" s="14"/>
      <c r="I27" s="17"/>
      <c r="J27" s="17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>
      <c r="A28" s="14"/>
      <c r="B28" s="23" t="s">
        <v>166</v>
      </c>
      <c r="C28" s="25">
        <v>3.0</v>
      </c>
      <c r="D28" s="14"/>
      <c r="E28" s="4"/>
      <c r="G28" s="5"/>
      <c r="H28" s="14"/>
      <c r="I28" s="17"/>
      <c r="J28" s="17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>
      <c r="A29" s="14"/>
      <c r="B29" s="23" t="s">
        <v>167</v>
      </c>
      <c r="C29" s="25">
        <v>4.0</v>
      </c>
      <c r="D29" s="14"/>
      <c r="E29" s="4"/>
      <c r="G29" s="5"/>
      <c r="H29" s="14"/>
      <c r="I29" s="17"/>
      <c r="J29" s="17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>
      <c r="A30" s="14"/>
      <c r="B30" s="23" t="s">
        <v>169</v>
      </c>
      <c r="C30" s="25">
        <v>5.0</v>
      </c>
      <c r="D30" s="14"/>
      <c r="E30" s="6"/>
      <c r="F30" s="7"/>
      <c r="G30" s="8"/>
      <c r="H30" s="14"/>
      <c r="I30" s="17"/>
      <c r="J30" s="17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>
      <c r="A31" s="14"/>
      <c r="B31" s="52"/>
      <c r="C31" s="53"/>
      <c r="D31" s="14"/>
      <c r="E31" s="14"/>
      <c r="F31" s="14"/>
      <c r="G31" s="14"/>
      <c r="H31" s="14"/>
      <c r="I31" s="17"/>
      <c r="J31" s="17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>
      <c r="A32" s="14"/>
      <c r="B32" s="19" t="s">
        <v>173</v>
      </c>
      <c r="C32" s="72" t="str">
        <f>IF(COUNT(C33:C37)&lt;5,"",REPT("★",ROUND(AVERAGE(C33:C37),0))&amp;REPT("☆",5-ROUND(AVERAGE(C33:C37),0)))</f>
        <v>★★★★☆</v>
      </c>
      <c r="D32" s="14"/>
      <c r="E32" s="73" t="s">
        <v>87</v>
      </c>
      <c r="F32" s="12"/>
      <c r="G32" s="13"/>
      <c r="H32" s="14"/>
      <c r="I32" s="17"/>
      <c r="J32" s="17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>
      <c r="A33" s="14"/>
      <c r="B33" s="23" t="s">
        <v>176</v>
      </c>
      <c r="C33" s="25">
        <v>3.0</v>
      </c>
      <c r="D33" s="14"/>
      <c r="E33" s="77" t="s">
        <v>177</v>
      </c>
      <c r="F33" s="2"/>
      <c r="G33" s="3"/>
      <c r="H33" s="14"/>
      <c r="I33" s="17"/>
      <c r="J33" s="17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>
      <c r="A34" s="14"/>
      <c r="B34" s="23" t="s">
        <v>178</v>
      </c>
      <c r="C34" s="25">
        <v>3.0</v>
      </c>
      <c r="D34" s="14"/>
      <c r="E34" s="4"/>
      <c r="G34" s="5"/>
      <c r="H34" s="14"/>
      <c r="I34" s="17"/>
      <c r="J34" s="17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>
      <c r="A35" s="14"/>
      <c r="B35" s="23" t="s">
        <v>181</v>
      </c>
      <c r="C35" s="25">
        <v>3.0</v>
      </c>
      <c r="D35" s="14"/>
      <c r="E35" s="4"/>
      <c r="G35" s="5"/>
      <c r="H35" s="14"/>
      <c r="I35" s="17"/>
      <c r="J35" s="17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>
      <c r="A36" s="14"/>
      <c r="B36" s="23" t="s">
        <v>183</v>
      </c>
      <c r="C36" s="25">
        <v>4.0</v>
      </c>
      <c r="D36" s="14"/>
      <c r="E36" s="4"/>
      <c r="G36" s="5"/>
      <c r="H36" s="14"/>
      <c r="I36" s="17"/>
      <c r="J36" s="17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>
      <c r="A37" s="14"/>
      <c r="B37" s="23" t="s">
        <v>184</v>
      </c>
      <c r="C37" s="25">
        <v>5.0</v>
      </c>
      <c r="D37" s="14"/>
      <c r="E37" s="6"/>
      <c r="F37" s="7"/>
      <c r="G37" s="8"/>
      <c r="H37" s="14"/>
      <c r="I37" s="17"/>
      <c r="J37" s="17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>
      <c r="A38" s="14"/>
      <c r="B38" s="52"/>
      <c r="C38" s="53"/>
      <c r="D38" s="14"/>
      <c r="E38" s="14"/>
      <c r="F38" s="14"/>
      <c r="G38" s="14"/>
      <c r="H38" s="14"/>
      <c r="I38" s="17"/>
      <c r="J38" s="17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>
      <c r="A39" s="14"/>
      <c r="B39" s="19" t="s">
        <v>185</v>
      </c>
      <c r="C39" s="72" t="str">
        <f>IF(COUNT(C40:C46)&lt;7,"",REPT("★",ROUND(AVERAGE(C40:C46),0))&amp;REPT("☆",5-ROUND(AVERAGE(C40:C46),0)))</f>
        <v>★★★☆☆</v>
      </c>
      <c r="D39" s="14"/>
      <c r="E39" s="73" t="s">
        <v>87</v>
      </c>
      <c r="F39" s="12"/>
      <c r="G39" s="13"/>
      <c r="H39" s="14"/>
      <c r="I39" s="17"/>
      <c r="J39" s="17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>
      <c r="A40" s="14"/>
      <c r="B40" s="23" t="s">
        <v>187</v>
      </c>
      <c r="C40" s="25">
        <v>3.0</v>
      </c>
      <c r="D40" s="14"/>
      <c r="E40" s="77" t="s">
        <v>188</v>
      </c>
      <c r="F40" s="2"/>
      <c r="G40" s="3"/>
      <c r="H40" s="14"/>
      <c r="I40" s="17"/>
      <c r="J40" s="17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>
      <c r="A41" s="14"/>
      <c r="B41" s="23" t="s">
        <v>189</v>
      </c>
      <c r="C41" s="25">
        <v>3.0</v>
      </c>
      <c r="D41" s="14"/>
      <c r="E41" s="4"/>
      <c r="G41" s="5"/>
      <c r="H41" s="14"/>
      <c r="I41" s="17"/>
      <c r="J41" s="17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>
      <c r="A42" s="14"/>
      <c r="B42" s="23" t="s">
        <v>190</v>
      </c>
      <c r="C42" s="25">
        <v>3.0</v>
      </c>
      <c r="D42" s="14"/>
      <c r="E42" s="4"/>
      <c r="G42" s="5"/>
      <c r="H42" s="14"/>
      <c r="I42" s="17"/>
      <c r="J42" s="17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>
      <c r="A43" s="14"/>
      <c r="B43" s="23" t="s">
        <v>191</v>
      </c>
      <c r="C43" s="25">
        <v>4.0</v>
      </c>
      <c r="D43" s="14"/>
      <c r="E43" s="4"/>
      <c r="G43" s="5"/>
      <c r="H43" s="14"/>
      <c r="I43" s="17"/>
      <c r="J43" s="17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>
      <c r="A44" s="14"/>
      <c r="B44" s="23" t="s">
        <v>192</v>
      </c>
      <c r="C44" s="25">
        <v>1.0</v>
      </c>
      <c r="D44" s="14"/>
      <c r="E44" s="4"/>
      <c r="G44" s="5"/>
      <c r="H44" s="14"/>
      <c r="I44" s="17"/>
      <c r="J44" s="17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>
      <c r="A45" s="14"/>
      <c r="B45" s="23" t="s">
        <v>193</v>
      </c>
      <c r="C45" s="25">
        <v>5.0</v>
      </c>
      <c r="D45" s="14"/>
      <c r="E45" s="4"/>
      <c r="G45" s="5"/>
      <c r="H45" s="14"/>
      <c r="I45" s="17"/>
      <c r="J45" s="17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>
      <c r="A46" s="14"/>
      <c r="B46" s="23" t="s">
        <v>195</v>
      </c>
      <c r="C46" s="25">
        <v>5.0</v>
      </c>
      <c r="D46" s="14"/>
      <c r="E46" s="6"/>
      <c r="F46" s="7"/>
      <c r="G46" s="8"/>
      <c r="H46" s="14"/>
      <c r="I46" s="17"/>
      <c r="J46" s="17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>
      <c r="A47" s="14"/>
      <c r="B47" s="52"/>
      <c r="C47" s="53"/>
      <c r="D47" s="14"/>
      <c r="E47" s="14"/>
      <c r="F47" s="14"/>
      <c r="G47" s="14"/>
      <c r="H47" s="14"/>
      <c r="I47" s="17"/>
      <c r="J47" s="17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>
      <c r="A48" s="14"/>
      <c r="B48" s="110" t="s">
        <v>197</v>
      </c>
      <c r="D48" s="14"/>
      <c r="E48" s="73" t="s">
        <v>198</v>
      </c>
      <c r="F48" s="12"/>
      <c r="G48" s="13"/>
      <c r="H48" s="14"/>
      <c r="I48" s="17"/>
      <c r="J48" s="17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>
      <c r="A49" s="14"/>
      <c r="B49" s="23" t="s">
        <v>199</v>
      </c>
      <c r="C49" s="25" t="s">
        <v>99</v>
      </c>
      <c r="D49" s="14"/>
      <c r="E49" s="77" t="s">
        <v>200</v>
      </c>
      <c r="F49" s="2"/>
      <c r="G49" s="3"/>
      <c r="H49" s="14"/>
      <c r="I49" s="17"/>
      <c r="J49" s="17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>
      <c r="A50" s="14"/>
      <c r="B50" s="112"/>
      <c r="C50" s="113"/>
      <c r="D50" s="14"/>
      <c r="E50" s="4"/>
      <c r="G50" s="5"/>
      <c r="H50" s="14"/>
      <c r="I50" s="17"/>
      <c r="J50" s="17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>
      <c r="A51" s="14"/>
      <c r="B51" s="114" t="s">
        <v>201</v>
      </c>
      <c r="C51" s="13"/>
      <c r="D51" s="14"/>
      <c r="E51" s="4"/>
      <c r="G51" s="5"/>
      <c r="H51" s="14"/>
      <c r="I51" s="17"/>
      <c r="J51" s="17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>
      <c r="A52" s="14"/>
      <c r="B52" s="115" t="s">
        <v>202</v>
      </c>
      <c r="C52" s="3"/>
      <c r="D52" s="14"/>
      <c r="E52" s="4"/>
      <c r="G52" s="5"/>
      <c r="H52" s="14"/>
      <c r="I52" s="17"/>
      <c r="J52" s="17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>
      <c r="A53" s="14"/>
      <c r="B53" s="6"/>
      <c r="C53" s="8"/>
      <c r="D53" s="14"/>
      <c r="E53" s="4"/>
      <c r="G53" s="5"/>
      <c r="H53" s="14"/>
      <c r="I53" s="17"/>
      <c r="J53" s="17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>
      <c r="A54" s="14"/>
      <c r="B54" s="116"/>
      <c r="C54" s="113"/>
      <c r="D54" s="14"/>
      <c r="E54" s="4"/>
      <c r="G54" s="5"/>
      <c r="H54" s="14"/>
      <c r="I54" s="17"/>
      <c r="J54" s="17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>
      <c r="A55" s="14"/>
      <c r="B55" s="114" t="s">
        <v>203</v>
      </c>
      <c r="C55" s="13"/>
      <c r="D55" s="14"/>
      <c r="E55" s="4"/>
      <c r="G55" s="5"/>
      <c r="H55" s="14"/>
      <c r="I55" s="17"/>
      <c r="J55" s="17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>
      <c r="A56" s="14"/>
      <c r="B56" s="115" t="s">
        <v>204</v>
      </c>
      <c r="C56" s="3"/>
      <c r="D56" s="14"/>
      <c r="E56" s="4"/>
      <c r="G56" s="5"/>
      <c r="H56" s="14"/>
      <c r="I56" s="17"/>
      <c r="J56" s="17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>
      <c r="A57" s="14"/>
      <c r="B57" s="6"/>
      <c r="C57" s="8"/>
      <c r="D57" s="14"/>
      <c r="E57" s="4"/>
      <c r="G57" s="5"/>
      <c r="H57" s="14"/>
      <c r="I57" s="17"/>
      <c r="J57" s="17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>
      <c r="A58" s="14"/>
      <c r="B58" s="116"/>
      <c r="C58" s="113"/>
      <c r="D58" s="14"/>
      <c r="E58" s="4"/>
      <c r="G58" s="5"/>
      <c r="H58" s="14"/>
      <c r="I58" s="17"/>
      <c r="J58" s="17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>
      <c r="A59" s="14"/>
      <c r="B59" s="114" t="s">
        <v>205</v>
      </c>
      <c r="C59" s="13"/>
      <c r="D59" s="14"/>
      <c r="E59" s="4"/>
      <c r="G59" s="5"/>
      <c r="H59" s="14"/>
      <c r="I59" s="17"/>
      <c r="J59" s="17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>
      <c r="A60" s="14"/>
      <c r="B60" s="115" t="s">
        <v>207</v>
      </c>
      <c r="C60" s="3"/>
      <c r="D60" s="14"/>
      <c r="E60" s="4"/>
      <c r="G60" s="5"/>
      <c r="H60" s="14"/>
      <c r="I60" s="17"/>
      <c r="J60" s="17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>
      <c r="A61" s="14"/>
      <c r="B61" s="6"/>
      <c r="C61" s="8"/>
      <c r="D61" s="14"/>
      <c r="E61" s="6"/>
      <c r="F61" s="7"/>
      <c r="G61" s="8"/>
      <c r="H61" s="14"/>
      <c r="I61" s="17"/>
      <c r="J61" s="17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>
      <c r="A62" s="14"/>
      <c r="B62" s="14"/>
      <c r="C62" s="16"/>
      <c r="D62" s="14"/>
      <c r="E62" s="14"/>
      <c r="F62" s="14"/>
      <c r="G62" s="14"/>
      <c r="H62" s="14"/>
      <c r="I62" s="17"/>
      <c r="J62" s="17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>
      <c r="A63" s="14"/>
      <c r="D63" s="14"/>
      <c r="E63" s="20" t="s">
        <v>208</v>
      </c>
      <c r="F63" s="2"/>
      <c r="G63" s="3"/>
      <c r="H63" s="14"/>
      <c r="I63" s="17"/>
      <c r="J63" s="17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>
      <c r="A64" s="14"/>
      <c r="D64" s="14"/>
      <c r="E64" s="119" t="s">
        <v>94</v>
      </c>
      <c r="F64" s="2"/>
      <c r="G64" s="3"/>
      <c r="H64" s="14"/>
      <c r="I64" s="17"/>
      <c r="J64" s="17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>
      <c r="A65" s="14"/>
      <c r="D65" s="14"/>
      <c r="E65" s="4"/>
      <c r="G65" s="5"/>
      <c r="H65" s="14"/>
      <c r="I65" s="17"/>
      <c r="J65" s="17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>
      <c r="A66" s="14"/>
      <c r="D66" s="14"/>
      <c r="E66" s="120" t="s">
        <v>209</v>
      </c>
      <c r="G66" s="5"/>
      <c r="H66" s="14"/>
      <c r="I66" s="17"/>
      <c r="J66" s="17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>
      <c r="A67" s="14"/>
      <c r="D67" s="14"/>
      <c r="E67" s="4"/>
      <c r="G67" s="5"/>
      <c r="H67" s="14"/>
      <c r="I67" s="17"/>
      <c r="J67" s="17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>
      <c r="A68" s="14"/>
      <c r="D68" s="14"/>
      <c r="E68" s="4"/>
      <c r="G68" s="5"/>
      <c r="H68" s="14"/>
      <c r="I68" s="17"/>
      <c r="J68" s="17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>
      <c r="A69" s="14"/>
      <c r="D69" s="14"/>
      <c r="E69" s="6"/>
      <c r="F69" s="7"/>
      <c r="G69" s="8"/>
      <c r="H69" s="14"/>
      <c r="I69" s="17"/>
      <c r="J69" s="17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>
      <c r="A70" s="14"/>
      <c r="B70" s="124"/>
      <c r="C70" s="124"/>
      <c r="D70" s="14"/>
      <c r="E70" s="14"/>
      <c r="F70" s="14"/>
      <c r="G70" s="14"/>
      <c r="H70" s="14"/>
      <c r="I70" s="17"/>
      <c r="J70" s="17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>
      <c r="A71" s="14"/>
      <c r="D71" s="14"/>
      <c r="E71" s="14"/>
      <c r="F71" s="14"/>
      <c r="G71" s="14"/>
      <c r="H71" s="14"/>
      <c r="I71" s="17"/>
      <c r="J71" s="17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>
      <c r="A72" s="14"/>
      <c r="D72" s="14"/>
      <c r="E72" s="14"/>
      <c r="F72" s="14"/>
      <c r="G72" s="14"/>
      <c r="H72" s="14"/>
      <c r="I72" s="17"/>
      <c r="J72" s="17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>
      <c r="A73" s="14"/>
      <c r="B73" s="14"/>
      <c r="C73" s="124"/>
      <c r="D73" s="14"/>
      <c r="E73" s="14"/>
      <c r="F73" s="14"/>
      <c r="G73" s="14"/>
      <c r="H73" s="14"/>
      <c r="I73" s="17"/>
      <c r="J73" s="17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>
      <c r="A74" s="14"/>
      <c r="B74" s="14"/>
      <c r="C74" s="124"/>
      <c r="D74" s="14"/>
      <c r="E74" s="14"/>
      <c r="F74" s="14"/>
      <c r="G74" s="14"/>
      <c r="H74" s="14"/>
      <c r="I74" s="17"/>
      <c r="J74" s="17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>
      <c r="A75" s="14"/>
      <c r="B75" s="14"/>
      <c r="C75" s="124"/>
      <c r="D75" s="14"/>
      <c r="E75" s="14"/>
      <c r="F75" s="14"/>
      <c r="G75" s="14"/>
      <c r="H75" s="14"/>
      <c r="I75" s="17"/>
      <c r="J75" s="17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>
      <c r="A76" s="14"/>
      <c r="B76" s="14"/>
      <c r="C76" s="124"/>
      <c r="D76" s="14"/>
      <c r="E76" s="14"/>
      <c r="F76" s="14"/>
      <c r="G76" s="14"/>
      <c r="H76" s="14"/>
      <c r="I76" s="17"/>
      <c r="J76" s="17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>
      <c r="A77" s="14"/>
      <c r="B77" s="14"/>
      <c r="C77" s="16"/>
      <c r="D77" s="14"/>
      <c r="E77" s="14"/>
      <c r="F77" s="14"/>
      <c r="G77" s="14"/>
      <c r="H77" s="14"/>
      <c r="I77" s="17"/>
      <c r="J77" s="17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>
      <c r="A78" s="14"/>
      <c r="B78" s="14"/>
      <c r="C78" s="16"/>
      <c r="D78" s="14"/>
      <c r="E78" s="14"/>
      <c r="F78" s="14"/>
      <c r="G78" s="14"/>
      <c r="H78" s="14"/>
      <c r="I78" s="17"/>
      <c r="J78" s="17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>
      <c r="A79" s="14"/>
      <c r="B79" s="14"/>
      <c r="C79" s="16"/>
      <c r="D79" s="14"/>
      <c r="E79" s="14"/>
      <c r="F79" s="14"/>
      <c r="G79" s="14"/>
      <c r="H79" s="14"/>
      <c r="I79" s="17"/>
      <c r="J79" s="17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>
      <c r="A80" s="14"/>
      <c r="B80" s="14"/>
      <c r="C80" s="16"/>
      <c r="D80" s="14"/>
      <c r="E80" s="14"/>
      <c r="F80" s="14"/>
      <c r="G80" s="14"/>
      <c r="H80" s="14"/>
      <c r="I80" s="17"/>
      <c r="J80" s="17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>
      <c r="A81" s="14"/>
      <c r="B81" s="14"/>
      <c r="C81" s="16"/>
      <c r="D81" s="14"/>
      <c r="E81" s="14"/>
      <c r="F81" s="14"/>
      <c r="G81" s="14"/>
      <c r="H81" s="14"/>
      <c r="I81" s="17"/>
      <c r="J81" s="17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>
      <c r="A82" s="14"/>
      <c r="B82" s="14"/>
      <c r="C82" s="16"/>
      <c r="D82" s="14"/>
      <c r="E82" s="14"/>
      <c r="F82" s="14"/>
      <c r="G82" s="14"/>
      <c r="H82" s="14"/>
      <c r="I82" s="17"/>
      <c r="J82" s="17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>
      <c r="A83" s="14"/>
      <c r="B83" s="14"/>
      <c r="C83" s="16"/>
      <c r="D83" s="14"/>
      <c r="E83" s="14"/>
      <c r="F83" s="14"/>
      <c r="G83" s="14"/>
      <c r="H83" s="14"/>
      <c r="I83" s="17"/>
      <c r="J83" s="17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>
      <c r="A84" s="14"/>
      <c r="B84" s="14"/>
      <c r="C84" s="16"/>
      <c r="D84" s="14"/>
      <c r="E84" s="14"/>
      <c r="F84" s="14"/>
      <c r="G84" s="14"/>
      <c r="H84" s="14"/>
      <c r="I84" s="17"/>
      <c r="J84" s="17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>
      <c r="A85" s="14"/>
      <c r="B85" s="14"/>
      <c r="C85" s="16"/>
      <c r="D85" s="14"/>
      <c r="E85" s="14"/>
      <c r="F85" s="14"/>
      <c r="G85" s="14"/>
      <c r="H85" s="14"/>
      <c r="I85" s="17"/>
      <c r="J85" s="17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>
      <c r="A86" s="14"/>
      <c r="B86" s="14"/>
      <c r="C86" s="16"/>
      <c r="D86" s="14"/>
      <c r="E86" s="14"/>
      <c r="F86" s="14"/>
      <c r="G86" s="14"/>
      <c r="H86" s="14"/>
      <c r="I86" s="17"/>
      <c r="J86" s="17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>
      <c r="A87" s="14"/>
      <c r="B87" s="14"/>
      <c r="C87" s="16"/>
      <c r="D87" s="14"/>
      <c r="E87" s="14"/>
      <c r="F87" s="14"/>
      <c r="G87" s="14"/>
      <c r="H87" s="14"/>
      <c r="I87" s="17"/>
      <c r="J87" s="17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>
      <c r="A88" s="14"/>
      <c r="B88" s="14"/>
      <c r="C88" s="16"/>
      <c r="D88" s="14"/>
      <c r="E88" s="14"/>
      <c r="F88" s="14"/>
      <c r="G88" s="14"/>
      <c r="H88" s="14"/>
      <c r="I88" s="17"/>
      <c r="J88" s="17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>
      <c r="A89" s="14"/>
      <c r="B89" s="14"/>
      <c r="C89" s="16"/>
      <c r="D89" s="14"/>
      <c r="E89" s="14"/>
      <c r="F89" s="14"/>
      <c r="G89" s="14"/>
      <c r="H89" s="14"/>
      <c r="I89" s="17"/>
      <c r="J89" s="17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>
      <c r="A90" s="14"/>
      <c r="B90" s="14"/>
      <c r="C90" s="16"/>
      <c r="D90" s="14"/>
      <c r="E90" s="14"/>
      <c r="F90" s="14"/>
      <c r="G90" s="14"/>
      <c r="H90" s="14"/>
      <c r="I90" s="17"/>
      <c r="J90" s="17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>
      <c r="A91" s="14"/>
      <c r="B91" s="14"/>
      <c r="C91" s="16"/>
      <c r="D91" s="14"/>
      <c r="E91" s="14"/>
      <c r="F91" s="14"/>
      <c r="G91" s="14"/>
      <c r="H91" s="14"/>
      <c r="I91" s="17"/>
      <c r="J91" s="17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>
      <c r="A92" s="14"/>
      <c r="B92" s="14"/>
      <c r="C92" s="16"/>
      <c r="D92" s="14"/>
      <c r="E92" s="14"/>
      <c r="F92" s="14"/>
      <c r="G92" s="14"/>
      <c r="H92" s="14"/>
      <c r="I92" s="17"/>
      <c r="J92" s="17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>
      <c r="A93" s="14"/>
      <c r="B93" s="14"/>
      <c r="C93" s="16"/>
      <c r="D93" s="14"/>
      <c r="E93" s="14"/>
      <c r="F93" s="14"/>
      <c r="G93" s="14"/>
      <c r="H93" s="14"/>
      <c r="I93" s="17"/>
      <c r="J93" s="17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>
      <c r="A94" s="14"/>
      <c r="B94" s="14"/>
      <c r="C94" s="16"/>
      <c r="D94" s="14"/>
      <c r="E94" s="14"/>
      <c r="F94" s="14"/>
      <c r="G94" s="14"/>
      <c r="H94" s="14"/>
      <c r="I94" s="17"/>
      <c r="J94" s="17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>
      <c r="A95" s="14"/>
      <c r="B95" s="14"/>
      <c r="C95" s="16"/>
      <c r="D95" s="14"/>
      <c r="E95" s="14"/>
      <c r="F95" s="14"/>
      <c r="G95" s="14"/>
      <c r="H95" s="14"/>
      <c r="I95" s="17"/>
      <c r="J95" s="17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>
      <c r="A96" s="14"/>
      <c r="B96" s="14"/>
      <c r="C96" s="16"/>
      <c r="D96" s="14"/>
      <c r="E96" s="14"/>
      <c r="F96" s="14"/>
      <c r="G96" s="14"/>
      <c r="H96" s="14"/>
      <c r="I96" s="17"/>
      <c r="J96" s="17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>
      <c r="A97" s="14"/>
      <c r="B97" s="14"/>
      <c r="C97" s="16"/>
      <c r="D97" s="14"/>
      <c r="E97" s="14"/>
      <c r="F97" s="14"/>
      <c r="G97" s="14"/>
      <c r="H97" s="14"/>
      <c r="I97" s="17"/>
      <c r="J97" s="17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>
      <c r="A98" s="14"/>
      <c r="B98" s="14"/>
      <c r="C98" s="16"/>
      <c r="D98" s="14"/>
      <c r="E98" s="14"/>
      <c r="F98" s="14"/>
      <c r="G98" s="14"/>
      <c r="H98" s="14"/>
      <c r="I98" s="17"/>
      <c r="J98" s="17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>
      <c r="A99" s="14"/>
      <c r="B99" s="14"/>
      <c r="C99" s="16"/>
      <c r="D99" s="14"/>
      <c r="E99" s="14"/>
      <c r="F99" s="14"/>
      <c r="G99" s="14"/>
      <c r="H99" s="14"/>
      <c r="I99" s="17"/>
      <c r="J99" s="17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>
      <c r="A100" s="14"/>
      <c r="B100" s="14"/>
      <c r="C100" s="16"/>
      <c r="D100" s="14"/>
      <c r="E100" s="14"/>
      <c r="F100" s="14"/>
      <c r="G100" s="14"/>
      <c r="H100" s="14"/>
      <c r="I100" s="17"/>
      <c r="J100" s="17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>
      <c r="A101" s="14"/>
      <c r="B101" s="14"/>
      <c r="C101" s="16"/>
      <c r="D101" s="14"/>
      <c r="E101" s="14"/>
      <c r="F101" s="14"/>
      <c r="G101" s="14"/>
      <c r="H101" s="14"/>
      <c r="I101" s="17"/>
      <c r="J101" s="17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>
      <c r="A102" s="14"/>
      <c r="B102" s="14"/>
      <c r="C102" s="16"/>
      <c r="D102" s="14"/>
      <c r="E102" s="14"/>
      <c r="F102" s="14"/>
      <c r="G102" s="14"/>
      <c r="H102" s="14"/>
      <c r="I102" s="17"/>
      <c r="J102" s="17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>
      <c r="A103" s="14"/>
      <c r="B103" s="14"/>
      <c r="C103" s="16"/>
      <c r="D103" s="14"/>
      <c r="E103" s="14"/>
      <c r="F103" s="14"/>
      <c r="G103" s="14"/>
      <c r="H103" s="14"/>
      <c r="I103" s="17"/>
      <c r="J103" s="17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>
      <c r="A104" s="14"/>
      <c r="B104" s="14"/>
      <c r="C104" s="16"/>
      <c r="D104" s="14"/>
      <c r="E104" s="14"/>
      <c r="F104" s="14"/>
      <c r="G104" s="14"/>
      <c r="H104" s="14"/>
      <c r="I104" s="17"/>
      <c r="J104" s="17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>
      <c r="A105" s="14"/>
      <c r="B105" s="14"/>
      <c r="C105" s="16"/>
      <c r="D105" s="14"/>
      <c r="E105" s="14"/>
      <c r="F105" s="14"/>
      <c r="G105" s="14"/>
      <c r="H105" s="14"/>
      <c r="I105" s="17"/>
      <c r="J105" s="17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>
      <c r="A106" s="14"/>
      <c r="B106" s="14"/>
      <c r="C106" s="16"/>
      <c r="D106" s="14"/>
      <c r="E106" s="14"/>
      <c r="F106" s="14"/>
      <c r="G106" s="14"/>
      <c r="H106" s="14"/>
      <c r="I106" s="17"/>
      <c r="J106" s="17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>
      <c r="A107" s="14"/>
      <c r="B107" s="14"/>
      <c r="C107" s="16"/>
      <c r="D107" s="14"/>
      <c r="E107" s="14"/>
      <c r="F107" s="14"/>
      <c r="G107" s="14"/>
      <c r="H107" s="14"/>
      <c r="I107" s="17"/>
      <c r="J107" s="17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>
      <c r="A108" s="14"/>
      <c r="B108" s="14"/>
      <c r="C108" s="16"/>
      <c r="D108" s="14"/>
      <c r="E108" s="14"/>
      <c r="F108" s="14"/>
      <c r="G108" s="14"/>
      <c r="H108" s="14"/>
      <c r="I108" s="17"/>
      <c r="J108" s="17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>
      <c r="A109" s="14"/>
      <c r="B109" s="14"/>
      <c r="C109" s="16"/>
      <c r="D109" s="14"/>
      <c r="E109" s="14"/>
      <c r="F109" s="14"/>
      <c r="G109" s="14"/>
      <c r="H109" s="14"/>
      <c r="I109" s="17"/>
      <c r="J109" s="17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>
      <c r="A110" s="14"/>
      <c r="B110" s="14"/>
      <c r="C110" s="16"/>
      <c r="D110" s="14"/>
      <c r="E110" s="14"/>
      <c r="F110" s="14"/>
      <c r="G110" s="14"/>
      <c r="H110" s="14"/>
      <c r="I110" s="17"/>
      <c r="J110" s="17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>
      <c r="A111" s="14"/>
      <c r="B111" s="14"/>
      <c r="C111" s="16"/>
      <c r="D111" s="14"/>
      <c r="E111" s="14"/>
      <c r="F111" s="14"/>
      <c r="G111" s="14"/>
      <c r="H111" s="14"/>
      <c r="I111" s="17"/>
      <c r="J111" s="17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>
      <c r="A112" s="14"/>
      <c r="B112" s="14"/>
      <c r="C112" s="16"/>
      <c r="D112" s="14"/>
      <c r="E112" s="14"/>
      <c r="F112" s="14"/>
      <c r="G112" s="14"/>
      <c r="H112" s="14"/>
      <c r="I112" s="17"/>
      <c r="J112" s="17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>
      <c r="A113" s="14"/>
      <c r="B113" s="14"/>
      <c r="C113" s="16"/>
      <c r="D113" s="14"/>
      <c r="E113" s="14"/>
      <c r="F113" s="14"/>
      <c r="G113" s="14"/>
      <c r="H113" s="14"/>
      <c r="I113" s="17"/>
      <c r="J113" s="17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>
      <c r="A114" s="14"/>
      <c r="B114" s="14"/>
      <c r="C114" s="16"/>
      <c r="D114" s="14"/>
      <c r="E114" s="14"/>
      <c r="F114" s="14"/>
      <c r="G114" s="14"/>
      <c r="H114" s="14"/>
      <c r="I114" s="17"/>
      <c r="J114" s="17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>
      <c r="A115" s="14"/>
      <c r="B115" s="14"/>
      <c r="C115" s="16"/>
      <c r="D115" s="14"/>
      <c r="E115" s="14"/>
      <c r="F115" s="14"/>
      <c r="G115" s="14"/>
      <c r="H115" s="14"/>
      <c r="I115" s="17"/>
      <c r="J115" s="17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>
      <c r="A116" s="14"/>
      <c r="B116" s="14"/>
      <c r="C116" s="16"/>
      <c r="D116" s="14"/>
      <c r="E116" s="14"/>
      <c r="F116" s="14"/>
      <c r="G116" s="14"/>
      <c r="H116" s="14"/>
      <c r="I116" s="17"/>
      <c r="J116" s="17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>
      <c r="A117" s="14"/>
      <c r="B117" s="14"/>
      <c r="C117" s="16"/>
      <c r="D117" s="14"/>
      <c r="E117" s="14"/>
      <c r="F117" s="14"/>
      <c r="G117" s="14"/>
      <c r="H117" s="14"/>
      <c r="I117" s="17"/>
      <c r="J117" s="17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>
      <c r="A118" s="14"/>
      <c r="B118" s="14"/>
      <c r="C118" s="16"/>
      <c r="D118" s="14"/>
      <c r="E118" s="14"/>
      <c r="F118" s="14"/>
      <c r="G118" s="14"/>
      <c r="H118" s="14"/>
      <c r="I118" s="17"/>
      <c r="J118" s="17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>
      <c r="A119" s="14"/>
      <c r="B119" s="14"/>
      <c r="C119" s="16"/>
      <c r="D119" s="14"/>
      <c r="E119" s="14"/>
      <c r="F119" s="14"/>
      <c r="G119" s="14"/>
      <c r="H119" s="14"/>
      <c r="I119" s="17"/>
      <c r="J119" s="17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>
      <c r="A120" s="14"/>
      <c r="B120" s="14"/>
      <c r="C120" s="16"/>
      <c r="D120" s="14"/>
      <c r="E120" s="14"/>
      <c r="F120" s="14"/>
      <c r="G120" s="14"/>
      <c r="H120" s="14"/>
      <c r="I120" s="17"/>
      <c r="J120" s="17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>
      <c r="A121" s="14"/>
      <c r="B121" s="14"/>
      <c r="C121" s="16"/>
      <c r="D121" s="14"/>
      <c r="E121" s="14"/>
      <c r="F121" s="14"/>
      <c r="G121" s="14"/>
      <c r="H121" s="14"/>
      <c r="I121" s="17"/>
      <c r="J121" s="17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>
      <c r="A122" s="14"/>
      <c r="B122" s="14"/>
      <c r="C122" s="16"/>
      <c r="D122" s="14"/>
      <c r="E122" s="14"/>
      <c r="F122" s="14"/>
      <c r="G122" s="14"/>
      <c r="H122" s="14"/>
      <c r="I122" s="17"/>
      <c r="J122" s="17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>
      <c r="A123" s="14"/>
      <c r="B123" s="14"/>
      <c r="C123" s="16"/>
      <c r="D123" s="14"/>
      <c r="E123" s="14"/>
      <c r="F123" s="14"/>
      <c r="G123" s="14"/>
      <c r="H123" s="14"/>
      <c r="I123" s="17"/>
      <c r="J123" s="17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>
      <c r="A124" s="14"/>
      <c r="B124" s="14"/>
      <c r="C124" s="16"/>
      <c r="D124" s="14"/>
      <c r="E124" s="14"/>
      <c r="F124" s="14"/>
      <c r="G124" s="14"/>
      <c r="H124" s="14"/>
      <c r="I124" s="17"/>
      <c r="J124" s="17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>
      <c r="A125" s="14"/>
      <c r="B125" s="14"/>
      <c r="C125" s="16"/>
      <c r="D125" s="14"/>
      <c r="E125" s="14"/>
      <c r="F125" s="14"/>
      <c r="G125" s="14"/>
      <c r="H125" s="14"/>
      <c r="I125" s="17"/>
      <c r="J125" s="17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>
      <c r="A126" s="14"/>
      <c r="B126" s="14"/>
      <c r="C126" s="16"/>
      <c r="D126" s="14"/>
      <c r="E126" s="14"/>
      <c r="F126" s="14"/>
      <c r="G126" s="14"/>
      <c r="H126" s="14"/>
      <c r="I126" s="17"/>
      <c r="J126" s="17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>
      <c r="A127" s="14"/>
      <c r="B127" s="14"/>
      <c r="C127" s="16"/>
      <c r="D127" s="14"/>
      <c r="E127" s="14"/>
      <c r="F127" s="14"/>
      <c r="G127" s="14"/>
      <c r="H127" s="14"/>
      <c r="I127" s="17"/>
      <c r="J127" s="17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>
      <c r="A128" s="14"/>
      <c r="B128" s="14"/>
      <c r="C128" s="16"/>
      <c r="D128" s="14"/>
      <c r="E128" s="14"/>
      <c r="F128" s="14"/>
      <c r="G128" s="14"/>
      <c r="H128" s="14"/>
      <c r="I128" s="17"/>
      <c r="J128" s="17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>
      <c r="A129" s="14"/>
      <c r="B129" s="14"/>
      <c r="C129" s="16"/>
      <c r="D129" s="14"/>
      <c r="E129" s="14"/>
      <c r="F129" s="14"/>
      <c r="G129" s="14"/>
      <c r="H129" s="14"/>
      <c r="I129" s="17"/>
      <c r="J129" s="17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>
      <c r="A130" s="14"/>
      <c r="B130" s="14"/>
      <c r="C130" s="16"/>
      <c r="D130" s="14"/>
      <c r="E130" s="14"/>
      <c r="F130" s="14"/>
      <c r="G130" s="14"/>
      <c r="H130" s="14"/>
      <c r="I130" s="17"/>
      <c r="J130" s="17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>
      <c r="A131" s="14"/>
      <c r="B131" s="14"/>
      <c r="C131" s="16"/>
      <c r="D131" s="14"/>
      <c r="E131" s="14"/>
      <c r="F131" s="14"/>
      <c r="G131" s="14"/>
      <c r="H131" s="14"/>
      <c r="I131" s="17"/>
      <c r="J131" s="17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>
      <c r="A132" s="14"/>
      <c r="B132" s="14"/>
      <c r="C132" s="16"/>
      <c r="D132" s="14"/>
      <c r="E132" s="14"/>
      <c r="F132" s="14"/>
      <c r="G132" s="14"/>
      <c r="H132" s="14"/>
      <c r="I132" s="17"/>
      <c r="J132" s="17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>
      <c r="A133" s="14"/>
      <c r="B133" s="14"/>
      <c r="C133" s="16"/>
      <c r="D133" s="14"/>
      <c r="E133" s="14"/>
      <c r="F133" s="14"/>
      <c r="G133" s="14"/>
      <c r="H133" s="14"/>
      <c r="I133" s="17"/>
      <c r="J133" s="17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>
      <c r="A134" s="14"/>
      <c r="B134" s="14"/>
      <c r="C134" s="16"/>
      <c r="D134" s="14"/>
      <c r="E134" s="14"/>
      <c r="F134" s="14"/>
      <c r="G134" s="14"/>
      <c r="H134" s="14"/>
      <c r="I134" s="17"/>
      <c r="J134" s="17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>
      <c r="A135" s="14"/>
      <c r="B135" s="14"/>
      <c r="C135" s="16"/>
      <c r="D135" s="14"/>
      <c r="E135" s="14"/>
      <c r="F135" s="14"/>
      <c r="G135" s="14"/>
      <c r="H135" s="14"/>
      <c r="I135" s="17"/>
      <c r="J135" s="17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>
      <c r="A136" s="14"/>
      <c r="B136" s="14"/>
      <c r="C136" s="16"/>
      <c r="D136" s="14"/>
      <c r="E136" s="14"/>
      <c r="F136" s="14"/>
      <c r="G136" s="14"/>
      <c r="H136" s="14"/>
      <c r="I136" s="17"/>
      <c r="J136" s="17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>
      <c r="A137" s="14"/>
      <c r="B137" s="14"/>
      <c r="C137" s="16"/>
      <c r="D137" s="14"/>
      <c r="E137" s="14"/>
      <c r="F137" s="14"/>
      <c r="G137" s="14"/>
      <c r="H137" s="14"/>
      <c r="I137" s="17"/>
      <c r="J137" s="17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>
      <c r="A138" s="14"/>
      <c r="B138" s="14"/>
      <c r="C138" s="16"/>
      <c r="D138" s="14"/>
      <c r="E138" s="14"/>
      <c r="F138" s="14"/>
      <c r="G138" s="14"/>
      <c r="H138" s="14"/>
      <c r="I138" s="17"/>
      <c r="J138" s="17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>
      <c r="A139" s="14"/>
      <c r="B139" s="14"/>
      <c r="C139" s="16"/>
      <c r="D139" s="14"/>
      <c r="E139" s="14"/>
      <c r="F139" s="14"/>
      <c r="G139" s="14"/>
      <c r="H139" s="14"/>
      <c r="I139" s="17"/>
      <c r="J139" s="17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>
      <c r="A140" s="14"/>
      <c r="B140" s="14"/>
      <c r="C140" s="16"/>
      <c r="D140" s="14"/>
      <c r="E140" s="14"/>
      <c r="F140" s="14"/>
      <c r="G140" s="14"/>
      <c r="H140" s="14"/>
      <c r="I140" s="17"/>
      <c r="J140" s="17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>
      <c r="A141" s="14"/>
      <c r="B141" s="14"/>
      <c r="C141" s="16"/>
      <c r="D141" s="14"/>
      <c r="E141" s="14"/>
      <c r="F141" s="14"/>
      <c r="G141" s="14"/>
      <c r="H141" s="14"/>
      <c r="I141" s="17"/>
      <c r="J141" s="17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>
      <c r="A142" s="14"/>
      <c r="B142" s="14"/>
      <c r="C142" s="16"/>
      <c r="D142" s="14"/>
      <c r="E142" s="14"/>
      <c r="F142" s="14"/>
      <c r="G142" s="14"/>
      <c r="H142" s="14"/>
      <c r="I142" s="17"/>
      <c r="J142" s="17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>
      <c r="A143" s="14"/>
      <c r="B143" s="14"/>
      <c r="C143" s="16"/>
      <c r="D143" s="14"/>
      <c r="E143" s="14"/>
      <c r="F143" s="14"/>
      <c r="G143" s="14"/>
      <c r="H143" s="14"/>
      <c r="I143" s="17"/>
      <c r="J143" s="17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>
      <c r="A144" s="14"/>
      <c r="B144" s="14"/>
      <c r="C144" s="16"/>
      <c r="D144" s="14"/>
      <c r="E144" s="14"/>
      <c r="F144" s="14"/>
      <c r="G144" s="14"/>
      <c r="H144" s="14"/>
      <c r="I144" s="17"/>
      <c r="J144" s="17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>
      <c r="A145" s="14"/>
      <c r="B145" s="14"/>
      <c r="C145" s="16"/>
      <c r="D145" s="14"/>
      <c r="E145" s="14"/>
      <c r="F145" s="14"/>
      <c r="G145" s="14"/>
      <c r="H145" s="14"/>
      <c r="I145" s="17"/>
      <c r="J145" s="17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>
      <c r="A146" s="14"/>
      <c r="B146" s="14"/>
      <c r="C146" s="16"/>
      <c r="D146" s="14"/>
      <c r="E146" s="14"/>
      <c r="F146" s="14"/>
      <c r="G146" s="14"/>
      <c r="H146" s="14"/>
      <c r="I146" s="17"/>
      <c r="J146" s="17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>
      <c r="A147" s="14"/>
      <c r="B147" s="14"/>
      <c r="C147" s="16"/>
      <c r="D147" s="14"/>
      <c r="E147" s="14"/>
      <c r="F147" s="14"/>
      <c r="G147" s="14"/>
      <c r="H147" s="14"/>
      <c r="I147" s="17"/>
      <c r="J147" s="17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>
      <c r="A148" s="14"/>
      <c r="B148" s="14"/>
      <c r="C148" s="16"/>
      <c r="D148" s="14"/>
      <c r="E148" s="14"/>
      <c r="F148" s="14"/>
      <c r="G148" s="14"/>
      <c r="H148" s="14"/>
      <c r="I148" s="17"/>
      <c r="J148" s="17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>
      <c r="A149" s="14"/>
      <c r="B149" s="14"/>
      <c r="C149" s="16"/>
      <c r="D149" s="14"/>
      <c r="E149" s="14"/>
      <c r="F149" s="14"/>
      <c r="G149" s="14"/>
      <c r="H149" s="14"/>
      <c r="I149" s="17"/>
      <c r="J149" s="17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>
      <c r="A150" s="14"/>
      <c r="B150" s="14"/>
      <c r="C150" s="16"/>
      <c r="D150" s="14"/>
      <c r="E150" s="14"/>
      <c r="F150" s="14"/>
      <c r="G150" s="14"/>
      <c r="H150" s="14"/>
      <c r="I150" s="17"/>
      <c r="J150" s="17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>
      <c r="A151" s="14"/>
      <c r="B151" s="14"/>
      <c r="C151" s="16"/>
      <c r="D151" s="14"/>
      <c r="E151" s="14"/>
      <c r="F151" s="14"/>
      <c r="G151" s="14"/>
      <c r="H151" s="14"/>
      <c r="I151" s="17"/>
      <c r="J151" s="17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>
      <c r="A152" s="14"/>
      <c r="B152" s="14"/>
      <c r="C152" s="16"/>
      <c r="D152" s="14"/>
      <c r="E152" s="14"/>
      <c r="F152" s="14"/>
      <c r="G152" s="14"/>
      <c r="H152" s="14"/>
      <c r="I152" s="17"/>
      <c r="J152" s="17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>
      <c r="A153" s="14"/>
      <c r="B153" s="14"/>
      <c r="C153" s="16"/>
      <c r="D153" s="14"/>
      <c r="E153" s="14"/>
      <c r="F153" s="14"/>
      <c r="G153" s="14"/>
      <c r="H153" s="14"/>
      <c r="I153" s="17"/>
      <c r="J153" s="17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>
      <c r="A154" s="14"/>
      <c r="B154" s="14"/>
      <c r="C154" s="16"/>
      <c r="D154" s="14"/>
      <c r="E154" s="14"/>
      <c r="F154" s="14"/>
      <c r="G154" s="14"/>
      <c r="H154" s="14"/>
      <c r="I154" s="17"/>
      <c r="J154" s="17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>
      <c r="A155" s="14"/>
      <c r="B155" s="14"/>
      <c r="C155" s="16"/>
      <c r="D155" s="14"/>
      <c r="E155" s="14"/>
      <c r="F155" s="14"/>
      <c r="G155" s="14"/>
      <c r="H155" s="14"/>
      <c r="I155" s="17"/>
      <c r="J155" s="17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>
      <c r="A156" s="14"/>
      <c r="B156" s="14"/>
      <c r="C156" s="16"/>
      <c r="D156" s="14"/>
      <c r="E156" s="14"/>
      <c r="F156" s="14"/>
      <c r="G156" s="14"/>
      <c r="H156" s="14"/>
      <c r="I156" s="17"/>
      <c r="J156" s="17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>
      <c r="A157" s="14"/>
      <c r="B157" s="14"/>
      <c r="C157" s="16"/>
      <c r="D157" s="14"/>
      <c r="E157" s="14"/>
      <c r="F157" s="14"/>
      <c r="G157" s="14"/>
      <c r="H157" s="14"/>
      <c r="I157" s="17"/>
      <c r="J157" s="17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>
      <c r="A158" s="14"/>
      <c r="B158" s="14"/>
      <c r="C158" s="16"/>
      <c r="D158" s="14"/>
      <c r="E158" s="14"/>
      <c r="F158" s="14"/>
      <c r="G158" s="14"/>
      <c r="H158" s="14"/>
      <c r="I158" s="17"/>
      <c r="J158" s="17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>
      <c r="A159" s="14"/>
      <c r="B159" s="14"/>
      <c r="C159" s="16"/>
      <c r="D159" s="14"/>
      <c r="E159" s="14"/>
      <c r="F159" s="14"/>
      <c r="G159" s="14"/>
      <c r="H159" s="14"/>
      <c r="I159" s="17"/>
      <c r="J159" s="17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>
      <c r="A160" s="14"/>
      <c r="B160" s="14"/>
      <c r="C160" s="16"/>
      <c r="D160" s="14"/>
      <c r="E160" s="14"/>
      <c r="F160" s="14"/>
      <c r="G160" s="14"/>
      <c r="H160" s="14"/>
      <c r="I160" s="17"/>
      <c r="J160" s="17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>
      <c r="A161" s="14"/>
      <c r="B161" s="14"/>
      <c r="C161" s="16"/>
      <c r="D161" s="14"/>
      <c r="E161" s="14"/>
      <c r="F161" s="14"/>
      <c r="G161" s="14"/>
      <c r="H161" s="14"/>
      <c r="I161" s="17"/>
      <c r="J161" s="17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>
      <c r="A162" s="14"/>
      <c r="B162" s="14"/>
      <c r="C162" s="16"/>
      <c r="D162" s="14"/>
      <c r="E162" s="14"/>
      <c r="F162" s="14"/>
      <c r="G162" s="14"/>
      <c r="H162" s="14"/>
      <c r="I162" s="17"/>
      <c r="J162" s="17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>
      <c r="A163" s="14"/>
      <c r="B163" s="14"/>
      <c r="C163" s="16"/>
      <c r="D163" s="14"/>
      <c r="E163" s="14"/>
      <c r="F163" s="14"/>
      <c r="G163" s="14"/>
      <c r="H163" s="14"/>
      <c r="I163" s="17"/>
      <c r="J163" s="17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>
      <c r="A164" s="14"/>
      <c r="B164" s="14"/>
      <c r="C164" s="16"/>
      <c r="D164" s="14"/>
      <c r="E164" s="14"/>
      <c r="F164" s="14"/>
      <c r="G164" s="14"/>
      <c r="H164" s="14"/>
      <c r="I164" s="17"/>
      <c r="J164" s="17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>
      <c r="A165" s="14"/>
      <c r="B165" s="14"/>
      <c r="C165" s="16"/>
      <c r="D165" s="14"/>
      <c r="E165" s="14"/>
      <c r="F165" s="14"/>
      <c r="G165" s="14"/>
      <c r="H165" s="14"/>
      <c r="I165" s="17"/>
      <c r="J165" s="17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>
      <c r="A166" s="14"/>
      <c r="B166" s="14"/>
      <c r="C166" s="16"/>
      <c r="D166" s="14"/>
      <c r="E166" s="14"/>
      <c r="F166" s="14"/>
      <c r="G166" s="14"/>
      <c r="H166" s="14"/>
      <c r="I166" s="17"/>
      <c r="J166" s="17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>
      <c r="A167" s="14"/>
      <c r="B167" s="14"/>
      <c r="C167" s="16"/>
      <c r="D167" s="14"/>
      <c r="E167" s="14"/>
      <c r="F167" s="14"/>
      <c r="G167" s="14"/>
      <c r="H167" s="14"/>
      <c r="I167" s="17"/>
      <c r="J167" s="17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>
      <c r="A168" s="14"/>
      <c r="B168" s="14"/>
      <c r="C168" s="16"/>
      <c r="D168" s="14"/>
      <c r="E168" s="14"/>
      <c r="F168" s="14"/>
      <c r="G168" s="14"/>
      <c r="H168" s="14"/>
      <c r="I168" s="17"/>
      <c r="J168" s="17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>
      <c r="A169" s="14"/>
      <c r="B169" s="14"/>
      <c r="C169" s="16"/>
      <c r="D169" s="14"/>
      <c r="E169" s="14"/>
      <c r="F169" s="14"/>
      <c r="G169" s="14"/>
      <c r="H169" s="14"/>
      <c r="I169" s="17"/>
      <c r="J169" s="17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>
      <c r="A170" s="14"/>
      <c r="B170" s="14"/>
      <c r="C170" s="16"/>
      <c r="D170" s="14"/>
      <c r="E170" s="14"/>
      <c r="F170" s="14"/>
      <c r="G170" s="14"/>
      <c r="H170" s="14"/>
      <c r="I170" s="17"/>
      <c r="J170" s="17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>
      <c r="A171" s="14"/>
      <c r="B171" s="14"/>
      <c r="C171" s="16"/>
      <c r="D171" s="14"/>
      <c r="E171" s="14"/>
      <c r="F171" s="14"/>
      <c r="G171" s="14"/>
      <c r="H171" s="14"/>
      <c r="I171" s="17"/>
      <c r="J171" s="17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>
      <c r="A172" s="14"/>
      <c r="B172" s="14"/>
      <c r="C172" s="16"/>
      <c r="D172" s="14"/>
      <c r="E172" s="14"/>
      <c r="F172" s="14"/>
      <c r="G172" s="14"/>
      <c r="H172" s="14"/>
      <c r="I172" s="17"/>
      <c r="J172" s="17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>
      <c r="A173" s="14"/>
      <c r="B173" s="14"/>
      <c r="C173" s="16"/>
      <c r="D173" s="14"/>
      <c r="E173" s="14"/>
      <c r="F173" s="14"/>
      <c r="G173" s="14"/>
      <c r="H173" s="14"/>
      <c r="I173" s="17"/>
      <c r="J173" s="17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>
      <c r="A174" s="14"/>
      <c r="B174" s="14"/>
      <c r="C174" s="16"/>
      <c r="D174" s="14"/>
      <c r="E174" s="14"/>
      <c r="F174" s="14"/>
      <c r="G174" s="14"/>
      <c r="H174" s="14"/>
      <c r="I174" s="17"/>
      <c r="J174" s="17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>
      <c r="A175" s="14"/>
      <c r="B175" s="14"/>
      <c r="C175" s="16"/>
      <c r="D175" s="14"/>
      <c r="E175" s="14"/>
      <c r="F175" s="14"/>
      <c r="G175" s="14"/>
      <c r="H175" s="14"/>
      <c r="I175" s="17"/>
      <c r="J175" s="17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>
      <c r="A176" s="14"/>
      <c r="B176" s="14"/>
      <c r="C176" s="16"/>
      <c r="D176" s="14"/>
      <c r="E176" s="14"/>
      <c r="F176" s="14"/>
      <c r="G176" s="14"/>
      <c r="H176" s="14"/>
      <c r="I176" s="17"/>
      <c r="J176" s="17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>
      <c r="A177" s="14"/>
      <c r="B177" s="14"/>
      <c r="C177" s="16"/>
      <c r="D177" s="14"/>
      <c r="E177" s="14"/>
      <c r="F177" s="14"/>
      <c r="G177" s="14"/>
      <c r="H177" s="14"/>
      <c r="I177" s="17"/>
      <c r="J177" s="17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>
      <c r="A178" s="14"/>
      <c r="B178" s="14"/>
      <c r="C178" s="16"/>
      <c r="D178" s="14"/>
      <c r="E178" s="14"/>
      <c r="F178" s="14"/>
      <c r="G178" s="14"/>
      <c r="H178" s="14"/>
      <c r="I178" s="17"/>
      <c r="J178" s="17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>
      <c r="A179" s="14"/>
      <c r="B179" s="14"/>
      <c r="C179" s="16"/>
      <c r="D179" s="14"/>
      <c r="E179" s="14"/>
      <c r="F179" s="14"/>
      <c r="G179" s="14"/>
      <c r="H179" s="14"/>
      <c r="I179" s="17"/>
      <c r="J179" s="17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>
      <c r="A180" s="14"/>
      <c r="B180" s="14"/>
      <c r="C180" s="16"/>
      <c r="D180" s="14"/>
      <c r="E180" s="14"/>
      <c r="F180" s="14"/>
      <c r="G180" s="14"/>
      <c r="H180" s="14"/>
      <c r="I180" s="17"/>
      <c r="J180" s="17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>
      <c r="A181" s="14"/>
      <c r="B181" s="14"/>
      <c r="C181" s="16"/>
      <c r="D181" s="14"/>
      <c r="E181" s="14"/>
      <c r="F181" s="14"/>
      <c r="G181" s="14"/>
      <c r="H181" s="14"/>
      <c r="I181" s="17"/>
      <c r="J181" s="17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>
      <c r="A182" s="14"/>
      <c r="B182" s="14"/>
      <c r="C182" s="16"/>
      <c r="D182" s="14"/>
      <c r="E182" s="14"/>
      <c r="F182" s="14"/>
      <c r="G182" s="14"/>
      <c r="H182" s="14"/>
      <c r="I182" s="17"/>
      <c r="J182" s="17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>
      <c r="A183" s="14"/>
      <c r="B183" s="14"/>
      <c r="C183" s="16"/>
      <c r="D183" s="14"/>
      <c r="E183" s="14"/>
      <c r="F183" s="14"/>
      <c r="G183" s="14"/>
      <c r="H183" s="14"/>
      <c r="I183" s="17"/>
      <c r="J183" s="17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>
      <c r="A184" s="14"/>
      <c r="B184" s="14"/>
      <c r="C184" s="16"/>
      <c r="D184" s="14"/>
      <c r="E184" s="14"/>
      <c r="F184" s="14"/>
      <c r="G184" s="14"/>
      <c r="H184" s="14"/>
      <c r="I184" s="17"/>
      <c r="J184" s="17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>
      <c r="A185" s="14"/>
      <c r="B185" s="14"/>
      <c r="C185" s="16"/>
      <c r="D185" s="14"/>
      <c r="E185" s="14"/>
      <c r="F185" s="14"/>
      <c r="G185" s="14"/>
      <c r="H185" s="14"/>
      <c r="I185" s="17"/>
      <c r="J185" s="17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>
      <c r="A186" s="14"/>
      <c r="B186" s="14"/>
      <c r="C186" s="16"/>
      <c r="D186" s="14"/>
      <c r="E186" s="14"/>
      <c r="F186" s="14"/>
      <c r="G186" s="14"/>
      <c r="H186" s="14"/>
      <c r="I186" s="17"/>
      <c r="J186" s="17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>
      <c r="A187" s="14"/>
      <c r="B187" s="14"/>
      <c r="C187" s="16"/>
      <c r="D187" s="14"/>
      <c r="E187" s="14"/>
      <c r="F187" s="14"/>
      <c r="G187" s="14"/>
      <c r="H187" s="14"/>
      <c r="I187" s="17"/>
      <c r="J187" s="17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>
      <c r="A188" s="14"/>
      <c r="B188" s="14"/>
      <c r="C188" s="16"/>
      <c r="D188" s="14"/>
      <c r="E188" s="14"/>
      <c r="F188" s="14"/>
      <c r="G188" s="14"/>
      <c r="H188" s="14"/>
      <c r="I188" s="17"/>
      <c r="J188" s="17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>
      <c r="A189" s="14"/>
      <c r="B189" s="14"/>
      <c r="C189" s="16"/>
      <c r="D189" s="14"/>
      <c r="E189" s="14"/>
      <c r="F189" s="14"/>
      <c r="G189" s="14"/>
      <c r="H189" s="14"/>
      <c r="I189" s="17"/>
      <c r="J189" s="17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>
      <c r="A190" s="14"/>
      <c r="B190" s="14"/>
      <c r="C190" s="16"/>
      <c r="D190" s="14"/>
      <c r="E190" s="14"/>
      <c r="F190" s="14"/>
      <c r="G190" s="14"/>
      <c r="H190" s="14"/>
      <c r="I190" s="17"/>
      <c r="J190" s="17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>
      <c r="A191" s="14"/>
      <c r="B191" s="14"/>
      <c r="C191" s="16"/>
      <c r="D191" s="14"/>
      <c r="E191" s="14"/>
      <c r="F191" s="14"/>
      <c r="G191" s="14"/>
      <c r="H191" s="14"/>
      <c r="I191" s="17"/>
      <c r="J191" s="17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>
      <c r="A192" s="14"/>
      <c r="B192" s="14"/>
      <c r="C192" s="16"/>
      <c r="D192" s="14"/>
      <c r="E192" s="14"/>
      <c r="F192" s="14"/>
      <c r="G192" s="14"/>
      <c r="H192" s="14"/>
      <c r="I192" s="17"/>
      <c r="J192" s="17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>
      <c r="A193" s="14"/>
      <c r="B193" s="14"/>
      <c r="C193" s="16"/>
      <c r="D193" s="14"/>
      <c r="E193" s="14"/>
      <c r="F193" s="14"/>
      <c r="G193" s="14"/>
      <c r="H193" s="14"/>
      <c r="I193" s="17"/>
      <c r="J193" s="17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>
      <c r="A194" s="14"/>
      <c r="B194" s="14"/>
      <c r="C194" s="16"/>
      <c r="D194" s="14"/>
      <c r="E194" s="14"/>
      <c r="F194" s="14"/>
      <c r="G194" s="14"/>
      <c r="H194" s="14"/>
      <c r="I194" s="17"/>
      <c r="J194" s="17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>
      <c r="A195" s="14"/>
      <c r="B195" s="14"/>
      <c r="C195" s="16"/>
      <c r="D195" s="14"/>
      <c r="E195" s="14"/>
      <c r="F195" s="14"/>
      <c r="G195" s="14"/>
      <c r="H195" s="14"/>
      <c r="I195" s="17"/>
      <c r="J195" s="17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>
      <c r="A196" s="14"/>
      <c r="B196" s="14"/>
      <c r="C196" s="16"/>
      <c r="D196" s="14"/>
      <c r="E196" s="14"/>
      <c r="F196" s="14"/>
      <c r="G196" s="14"/>
      <c r="H196" s="14"/>
      <c r="I196" s="17"/>
      <c r="J196" s="17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>
      <c r="A197" s="14"/>
      <c r="B197" s="14"/>
      <c r="C197" s="16"/>
      <c r="D197" s="14"/>
      <c r="E197" s="14"/>
      <c r="F197" s="14"/>
      <c r="G197" s="14"/>
      <c r="H197" s="14"/>
      <c r="I197" s="17"/>
      <c r="J197" s="17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>
      <c r="A198" s="14"/>
      <c r="B198" s="14"/>
      <c r="C198" s="16"/>
      <c r="D198" s="14"/>
      <c r="E198" s="14"/>
      <c r="F198" s="14"/>
      <c r="G198" s="14"/>
      <c r="H198" s="14"/>
      <c r="I198" s="17"/>
      <c r="J198" s="17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>
      <c r="A199" s="14"/>
      <c r="B199" s="14"/>
      <c r="C199" s="16"/>
      <c r="D199" s="14"/>
      <c r="E199" s="14"/>
      <c r="F199" s="14"/>
      <c r="G199" s="14"/>
      <c r="H199" s="14"/>
      <c r="I199" s="17"/>
      <c r="J199" s="17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>
      <c r="A200" s="14"/>
      <c r="B200" s="14"/>
      <c r="C200" s="16"/>
      <c r="D200" s="14"/>
      <c r="E200" s="14"/>
      <c r="F200" s="14"/>
      <c r="G200" s="14"/>
      <c r="H200" s="14"/>
      <c r="I200" s="17"/>
      <c r="J200" s="17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>
      <c r="A201" s="14"/>
      <c r="B201" s="14"/>
      <c r="C201" s="16"/>
      <c r="D201" s="14"/>
      <c r="E201" s="14"/>
      <c r="F201" s="14"/>
      <c r="G201" s="14"/>
      <c r="H201" s="14"/>
      <c r="I201" s="17"/>
      <c r="J201" s="17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>
      <c r="A202" s="14"/>
      <c r="B202" s="14"/>
      <c r="C202" s="16"/>
      <c r="D202" s="14"/>
      <c r="E202" s="14"/>
      <c r="F202" s="14"/>
      <c r="G202" s="14"/>
      <c r="H202" s="14"/>
      <c r="I202" s="17"/>
      <c r="J202" s="17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>
      <c r="A203" s="14"/>
      <c r="B203" s="14"/>
      <c r="C203" s="16"/>
      <c r="D203" s="14"/>
      <c r="E203" s="14"/>
      <c r="F203" s="14"/>
      <c r="G203" s="14"/>
      <c r="H203" s="14"/>
      <c r="I203" s="17"/>
      <c r="J203" s="17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>
      <c r="A204" s="14"/>
      <c r="B204" s="14"/>
      <c r="C204" s="16"/>
      <c r="D204" s="14"/>
      <c r="E204" s="14"/>
      <c r="F204" s="14"/>
      <c r="G204" s="14"/>
      <c r="H204" s="14"/>
      <c r="I204" s="17"/>
      <c r="J204" s="17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>
      <c r="A205" s="14"/>
      <c r="B205" s="14"/>
      <c r="C205" s="16"/>
      <c r="D205" s="14"/>
      <c r="E205" s="14"/>
      <c r="F205" s="14"/>
      <c r="G205" s="14"/>
      <c r="H205" s="14"/>
      <c r="I205" s="17"/>
      <c r="J205" s="17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>
      <c r="A206" s="14"/>
      <c r="B206" s="14"/>
      <c r="C206" s="16"/>
      <c r="D206" s="14"/>
      <c r="E206" s="14"/>
      <c r="F206" s="14"/>
      <c r="G206" s="14"/>
      <c r="H206" s="14"/>
      <c r="I206" s="17"/>
      <c r="J206" s="17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>
      <c r="A207" s="14"/>
      <c r="B207" s="14"/>
      <c r="C207" s="16"/>
      <c r="D207" s="14"/>
      <c r="E207" s="14"/>
      <c r="F207" s="14"/>
      <c r="G207" s="14"/>
      <c r="H207" s="14"/>
      <c r="I207" s="17"/>
      <c r="J207" s="17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>
      <c r="A208" s="14"/>
      <c r="B208" s="14"/>
      <c r="C208" s="16"/>
      <c r="D208" s="14"/>
      <c r="E208" s="14"/>
      <c r="F208" s="14"/>
      <c r="G208" s="14"/>
      <c r="H208" s="14"/>
      <c r="I208" s="17"/>
      <c r="J208" s="17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>
      <c r="A209" s="14"/>
      <c r="B209" s="14"/>
      <c r="C209" s="16"/>
      <c r="D209" s="14"/>
      <c r="E209" s="14"/>
      <c r="F209" s="14"/>
      <c r="G209" s="14"/>
      <c r="H209" s="14"/>
      <c r="I209" s="17"/>
      <c r="J209" s="17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>
      <c r="A210" s="14"/>
      <c r="B210" s="14"/>
      <c r="C210" s="16"/>
      <c r="D210" s="14"/>
      <c r="E210" s="14"/>
      <c r="F210" s="14"/>
      <c r="G210" s="14"/>
      <c r="H210" s="14"/>
      <c r="I210" s="17"/>
      <c r="J210" s="17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>
      <c r="A211" s="14"/>
      <c r="B211" s="14"/>
      <c r="C211" s="16"/>
      <c r="D211" s="14"/>
      <c r="E211" s="14"/>
      <c r="F211" s="14"/>
      <c r="G211" s="14"/>
      <c r="H211" s="14"/>
      <c r="I211" s="17"/>
      <c r="J211" s="17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>
      <c r="A212" s="14"/>
      <c r="B212" s="14"/>
      <c r="C212" s="16"/>
      <c r="D212" s="14"/>
      <c r="E212" s="14"/>
      <c r="F212" s="14"/>
      <c r="G212" s="14"/>
      <c r="H212" s="14"/>
      <c r="I212" s="17"/>
      <c r="J212" s="17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>
      <c r="A213" s="14"/>
      <c r="B213" s="14"/>
      <c r="C213" s="16"/>
      <c r="D213" s="14"/>
      <c r="E213" s="14"/>
      <c r="F213" s="14"/>
      <c r="G213" s="14"/>
      <c r="H213" s="14"/>
      <c r="I213" s="17"/>
      <c r="J213" s="17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>
      <c r="A214" s="14"/>
      <c r="B214" s="14"/>
      <c r="C214" s="16"/>
      <c r="D214" s="14"/>
      <c r="E214" s="14"/>
      <c r="F214" s="14"/>
      <c r="G214" s="14"/>
      <c r="H214" s="14"/>
      <c r="I214" s="17"/>
      <c r="J214" s="17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>
      <c r="A215" s="14"/>
      <c r="B215" s="14"/>
      <c r="C215" s="16"/>
      <c r="D215" s="14"/>
      <c r="E215" s="14"/>
      <c r="F215" s="14"/>
      <c r="G215" s="14"/>
      <c r="H215" s="14"/>
      <c r="I215" s="17"/>
      <c r="J215" s="17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>
      <c r="A216" s="14"/>
      <c r="B216" s="14"/>
      <c r="C216" s="16"/>
      <c r="D216" s="14"/>
      <c r="E216" s="14"/>
      <c r="F216" s="14"/>
      <c r="G216" s="14"/>
      <c r="H216" s="14"/>
      <c r="I216" s="17"/>
      <c r="J216" s="17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>
      <c r="A217" s="14"/>
      <c r="B217" s="14"/>
      <c r="C217" s="16"/>
      <c r="D217" s="14"/>
      <c r="E217" s="14"/>
      <c r="F217" s="14"/>
      <c r="G217" s="14"/>
      <c r="H217" s="14"/>
      <c r="I217" s="17"/>
      <c r="J217" s="17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>
      <c r="A218" s="14"/>
      <c r="B218" s="14"/>
      <c r="C218" s="16"/>
      <c r="D218" s="14"/>
      <c r="E218" s="14"/>
      <c r="F218" s="14"/>
      <c r="G218" s="14"/>
      <c r="H218" s="14"/>
      <c r="I218" s="17"/>
      <c r="J218" s="17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>
      <c r="A219" s="14"/>
      <c r="B219" s="14"/>
      <c r="C219" s="16"/>
      <c r="D219" s="14"/>
      <c r="E219" s="14"/>
      <c r="F219" s="14"/>
      <c r="G219" s="14"/>
      <c r="H219" s="14"/>
      <c r="I219" s="17"/>
      <c r="J219" s="17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>
      <c r="A220" s="14"/>
      <c r="B220" s="14"/>
      <c r="C220" s="16"/>
      <c r="D220" s="14"/>
      <c r="E220" s="14"/>
      <c r="F220" s="14"/>
      <c r="G220" s="14"/>
      <c r="H220" s="14"/>
      <c r="I220" s="17"/>
      <c r="J220" s="17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>
      <c r="A221" s="14"/>
      <c r="B221" s="14"/>
      <c r="C221" s="16"/>
      <c r="D221" s="14"/>
      <c r="E221" s="14"/>
      <c r="F221" s="14"/>
      <c r="G221" s="14"/>
      <c r="H221" s="14"/>
      <c r="I221" s="17"/>
      <c r="J221" s="17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>
      <c r="A222" s="14"/>
      <c r="B222" s="14"/>
      <c r="C222" s="16"/>
      <c r="D222" s="14"/>
      <c r="E222" s="14"/>
      <c r="F222" s="14"/>
      <c r="G222" s="14"/>
      <c r="H222" s="14"/>
      <c r="I222" s="17"/>
      <c r="J222" s="17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>
      <c r="A223" s="14"/>
      <c r="B223" s="14"/>
      <c r="C223" s="16"/>
      <c r="D223" s="14"/>
      <c r="E223" s="14"/>
      <c r="F223" s="14"/>
      <c r="G223" s="14"/>
      <c r="H223" s="14"/>
      <c r="I223" s="17"/>
      <c r="J223" s="17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>
      <c r="A224" s="14"/>
      <c r="B224" s="14"/>
      <c r="C224" s="16"/>
      <c r="D224" s="14"/>
      <c r="E224" s="14"/>
      <c r="F224" s="14"/>
      <c r="G224" s="14"/>
      <c r="H224" s="14"/>
      <c r="I224" s="17"/>
      <c r="J224" s="17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>
      <c r="A225" s="14"/>
      <c r="B225" s="14"/>
      <c r="C225" s="16"/>
      <c r="D225" s="14"/>
      <c r="E225" s="14"/>
      <c r="F225" s="14"/>
      <c r="G225" s="14"/>
      <c r="H225" s="14"/>
      <c r="I225" s="17"/>
      <c r="J225" s="17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>
      <c r="A226" s="14"/>
      <c r="B226" s="14"/>
      <c r="C226" s="16"/>
      <c r="D226" s="14"/>
      <c r="E226" s="14"/>
      <c r="F226" s="14"/>
      <c r="G226" s="14"/>
      <c r="H226" s="14"/>
      <c r="I226" s="17"/>
      <c r="J226" s="17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>
      <c r="A227" s="14"/>
      <c r="B227" s="14"/>
      <c r="C227" s="16"/>
      <c r="D227" s="14"/>
      <c r="E227" s="14"/>
      <c r="F227" s="14"/>
      <c r="G227" s="14"/>
      <c r="H227" s="14"/>
      <c r="I227" s="17"/>
      <c r="J227" s="17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>
      <c r="A228" s="14"/>
      <c r="B228" s="14"/>
      <c r="C228" s="16"/>
      <c r="D228" s="14"/>
      <c r="E228" s="14"/>
      <c r="F228" s="14"/>
      <c r="G228" s="14"/>
      <c r="H228" s="14"/>
      <c r="I228" s="17"/>
      <c r="J228" s="17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>
      <c r="A229" s="14"/>
      <c r="B229" s="14"/>
      <c r="C229" s="16"/>
      <c r="D229" s="14"/>
      <c r="E229" s="14"/>
      <c r="F229" s="14"/>
      <c r="G229" s="14"/>
      <c r="H229" s="14"/>
      <c r="I229" s="17"/>
      <c r="J229" s="17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>
      <c r="A230" s="14"/>
      <c r="B230" s="14"/>
      <c r="C230" s="16"/>
      <c r="D230" s="14"/>
      <c r="E230" s="14"/>
      <c r="F230" s="14"/>
      <c r="G230" s="14"/>
      <c r="H230" s="14"/>
      <c r="I230" s="17"/>
      <c r="J230" s="17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>
      <c r="A231" s="14"/>
      <c r="B231" s="14"/>
      <c r="C231" s="16"/>
      <c r="D231" s="14"/>
      <c r="E231" s="14"/>
      <c r="F231" s="14"/>
      <c r="G231" s="14"/>
      <c r="H231" s="14"/>
      <c r="I231" s="17"/>
      <c r="J231" s="17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>
      <c r="A232" s="14"/>
      <c r="B232" s="14"/>
      <c r="C232" s="16"/>
      <c r="D232" s="14"/>
      <c r="E232" s="14"/>
      <c r="F232" s="14"/>
      <c r="G232" s="14"/>
      <c r="H232" s="14"/>
      <c r="I232" s="17"/>
      <c r="J232" s="17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>
      <c r="A233" s="14"/>
      <c r="B233" s="14"/>
      <c r="C233" s="16"/>
      <c r="D233" s="14"/>
      <c r="E233" s="14"/>
      <c r="F233" s="14"/>
      <c r="G233" s="14"/>
      <c r="H233" s="14"/>
      <c r="I233" s="17"/>
      <c r="J233" s="17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>
      <c r="A234" s="14"/>
      <c r="B234" s="14"/>
      <c r="C234" s="16"/>
      <c r="D234" s="14"/>
      <c r="E234" s="14"/>
      <c r="F234" s="14"/>
      <c r="G234" s="14"/>
      <c r="H234" s="14"/>
      <c r="I234" s="17"/>
      <c r="J234" s="17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>
      <c r="A235" s="14"/>
      <c r="B235" s="14"/>
      <c r="C235" s="16"/>
      <c r="D235" s="14"/>
      <c r="E235" s="14"/>
      <c r="F235" s="14"/>
      <c r="G235" s="14"/>
      <c r="H235" s="14"/>
      <c r="I235" s="17"/>
      <c r="J235" s="17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>
      <c r="A236" s="14"/>
      <c r="B236" s="14"/>
      <c r="C236" s="16"/>
      <c r="D236" s="14"/>
      <c r="E236" s="14"/>
      <c r="F236" s="14"/>
      <c r="G236" s="14"/>
      <c r="H236" s="14"/>
      <c r="I236" s="17"/>
      <c r="J236" s="17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>
      <c r="A237" s="14"/>
      <c r="B237" s="14"/>
      <c r="C237" s="16"/>
      <c r="D237" s="14"/>
      <c r="E237" s="14"/>
      <c r="F237" s="14"/>
      <c r="G237" s="14"/>
      <c r="H237" s="14"/>
      <c r="I237" s="17"/>
      <c r="J237" s="17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>
      <c r="A238" s="14"/>
      <c r="B238" s="14"/>
      <c r="C238" s="16"/>
      <c r="D238" s="14"/>
      <c r="E238" s="14"/>
      <c r="F238" s="14"/>
      <c r="G238" s="14"/>
      <c r="H238" s="14"/>
      <c r="I238" s="17"/>
      <c r="J238" s="17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>
      <c r="A239" s="14"/>
      <c r="B239" s="14"/>
      <c r="C239" s="16"/>
      <c r="D239" s="14"/>
      <c r="E239" s="14"/>
      <c r="F239" s="14"/>
      <c r="G239" s="14"/>
      <c r="H239" s="14"/>
      <c r="I239" s="17"/>
      <c r="J239" s="17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>
      <c r="A240" s="14"/>
      <c r="B240" s="14"/>
      <c r="C240" s="16"/>
      <c r="D240" s="14"/>
      <c r="E240" s="14"/>
      <c r="F240" s="14"/>
      <c r="G240" s="14"/>
      <c r="H240" s="14"/>
      <c r="I240" s="17"/>
      <c r="J240" s="17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>
      <c r="A241" s="14"/>
      <c r="B241" s="14"/>
      <c r="C241" s="16"/>
      <c r="D241" s="14"/>
      <c r="E241" s="14"/>
      <c r="F241" s="14"/>
      <c r="G241" s="14"/>
      <c r="H241" s="14"/>
      <c r="I241" s="17"/>
      <c r="J241" s="17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>
      <c r="A242" s="14"/>
      <c r="B242" s="14"/>
      <c r="C242" s="16"/>
      <c r="D242" s="14"/>
      <c r="E242" s="14"/>
      <c r="F242" s="14"/>
      <c r="G242" s="14"/>
      <c r="H242" s="14"/>
      <c r="I242" s="17"/>
      <c r="J242" s="17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>
      <c r="A243" s="14"/>
      <c r="B243" s="14"/>
      <c r="C243" s="16"/>
      <c r="D243" s="14"/>
      <c r="E243" s="14"/>
      <c r="F243" s="14"/>
      <c r="G243" s="14"/>
      <c r="H243" s="14"/>
      <c r="I243" s="17"/>
      <c r="J243" s="17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>
      <c r="A244" s="14"/>
      <c r="B244" s="14"/>
      <c r="C244" s="16"/>
      <c r="D244" s="14"/>
      <c r="E244" s="14"/>
      <c r="F244" s="14"/>
      <c r="G244" s="14"/>
      <c r="H244" s="14"/>
      <c r="I244" s="17"/>
      <c r="J244" s="17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>
      <c r="A245" s="14"/>
      <c r="B245" s="14"/>
      <c r="C245" s="16"/>
      <c r="D245" s="14"/>
      <c r="E245" s="14"/>
      <c r="F245" s="14"/>
      <c r="G245" s="14"/>
      <c r="H245" s="14"/>
      <c r="I245" s="17"/>
      <c r="J245" s="17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>
      <c r="A246" s="14"/>
      <c r="B246" s="14"/>
      <c r="C246" s="16"/>
      <c r="D246" s="14"/>
      <c r="E246" s="14"/>
      <c r="F246" s="14"/>
      <c r="G246" s="14"/>
      <c r="H246" s="14"/>
      <c r="I246" s="17"/>
      <c r="J246" s="17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>
      <c r="A247" s="14"/>
      <c r="B247" s="14"/>
      <c r="C247" s="16"/>
      <c r="D247" s="14"/>
      <c r="E247" s="14"/>
      <c r="F247" s="14"/>
      <c r="G247" s="14"/>
      <c r="H247" s="14"/>
      <c r="I247" s="17"/>
      <c r="J247" s="17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>
      <c r="A248" s="14"/>
      <c r="B248" s="14"/>
      <c r="C248" s="16"/>
      <c r="D248" s="14"/>
      <c r="E248" s="14"/>
      <c r="F248" s="14"/>
      <c r="G248" s="14"/>
      <c r="H248" s="14"/>
      <c r="I248" s="17"/>
      <c r="J248" s="17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>
      <c r="A249" s="14"/>
      <c r="B249" s="14"/>
      <c r="C249" s="16"/>
      <c r="D249" s="14"/>
      <c r="E249" s="14"/>
      <c r="F249" s="14"/>
      <c r="G249" s="14"/>
      <c r="H249" s="14"/>
      <c r="I249" s="17"/>
      <c r="J249" s="17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>
      <c r="A250" s="14"/>
      <c r="B250" s="14"/>
      <c r="C250" s="16"/>
      <c r="D250" s="14"/>
      <c r="E250" s="14"/>
      <c r="F250" s="14"/>
      <c r="G250" s="14"/>
      <c r="H250" s="14"/>
      <c r="I250" s="17"/>
      <c r="J250" s="17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>
      <c r="A251" s="14"/>
      <c r="B251" s="14"/>
      <c r="C251" s="16"/>
      <c r="D251" s="14"/>
      <c r="E251" s="14"/>
      <c r="F251" s="14"/>
      <c r="G251" s="14"/>
      <c r="H251" s="14"/>
      <c r="I251" s="17"/>
      <c r="J251" s="17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>
      <c r="A252" s="14"/>
      <c r="B252" s="14"/>
      <c r="C252" s="16"/>
      <c r="D252" s="14"/>
      <c r="E252" s="14"/>
      <c r="F252" s="14"/>
      <c r="G252" s="14"/>
      <c r="H252" s="14"/>
      <c r="I252" s="17"/>
      <c r="J252" s="17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>
      <c r="A253" s="14"/>
      <c r="B253" s="14"/>
      <c r="C253" s="16"/>
      <c r="D253" s="14"/>
      <c r="E253" s="14"/>
      <c r="F253" s="14"/>
      <c r="G253" s="14"/>
      <c r="H253" s="14"/>
      <c r="I253" s="17"/>
      <c r="J253" s="17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>
      <c r="A254" s="14"/>
      <c r="B254" s="14"/>
      <c r="C254" s="16"/>
      <c r="D254" s="14"/>
      <c r="E254" s="14"/>
      <c r="F254" s="14"/>
      <c r="G254" s="14"/>
      <c r="H254" s="14"/>
      <c r="I254" s="17"/>
      <c r="J254" s="17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>
      <c r="A255" s="14"/>
      <c r="B255" s="14"/>
      <c r="C255" s="16"/>
      <c r="D255" s="14"/>
      <c r="E255" s="14"/>
      <c r="F255" s="14"/>
      <c r="G255" s="14"/>
      <c r="H255" s="14"/>
      <c r="I255" s="17"/>
      <c r="J255" s="17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>
      <c r="A256" s="14"/>
      <c r="B256" s="14"/>
      <c r="C256" s="16"/>
      <c r="D256" s="14"/>
      <c r="E256" s="14"/>
      <c r="F256" s="14"/>
      <c r="G256" s="14"/>
      <c r="H256" s="14"/>
      <c r="I256" s="17"/>
      <c r="J256" s="17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>
      <c r="A257" s="14"/>
      <c r="B257" s="14"/>
      <c r="C257" s="16"/>
      <c r="D257" s="14"/>
      <c r="E257" s="14"/>
      <c r="F257" s="14"/>
      <c r="G257" s="14"/>
      <c r="H257" s="14"/>
      <c r="I257" s="17"/>
      <c r="J257" s="17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>
      <c r="A258" s="14"/>
      <c r="B258" s="14"/>
      <c r="C258" s="16"/>
      <c r="D258" s="14"/>
      <c r="E258" s="14"/>
      <c r="F258" s="14"/>
      <c r="G258" s="14"/>
      <c r="H258" s="14"/>
      <c r="I258" s="17"/>
      <c r="J258" s="17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>
      <c r="A259" s="14"/>
      <c r="B259" s="14"/>
      <c r="C259" s="16"/>
      <c r="D259" s="14"/>
      <c r="E259" s="14"/>
      <c r="F259" s="14"/>
      <c r="G259" s="14"/>
      <c r="H259" s="14"/>
      <c r="I259" s="17"/>
      <c r="J259" s="17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>
      <c r="A260" s="14"/>
      <c r="B260" s="14"/>
      <c r="C260" s="16"/>
      <c r="D260" s="14"/>
      <c r="E260" s="14"/>
      <c r="F260" s="14"/>
      <c r="G260" s="14"/>
      <c r="H260" s="14"/>
      <c r="I260" s="17"/>
      <c r="J260" s="17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>
      <c r="A261" s="14"/>
      <c r="B261" s="14"/>
      <c r="C261" s="16"/>
      <c r="D261" s="14"/>
      <c r="E261" s="14"/>
      <c r="F261" s="14"/>
      <c r="G261" s="14"/>
      <c r="H261" s="14"/>
      <c r="I261" s="17"/>
      <c r="J261" s="17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>
      <c r="A262" s="14"/>
      <c r="B262" s="14"/>
      <c r="C262" s="16"/>
      <c r="D262" s="14"/>
      <c r="E262" s="14"/>
      <c r="F262" s="14"/>
      <c r="G262" s="14"/>
      <c r="H262" s="14"/>
      <c r="I262" s="17"/>
      <c r="J262" s="17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>
      <c r="A263" s="14"/>
      <c r="B263" s="14"/>
      <c r="C263" s="16"/>
      <c r="D263" s="14"/>
      <c r="E263" s="14"/>
      <c r="F263" s="14"/>
      <c r="G263" s="14"/>
      <c r="H263" s="14"/>
      <c r="I263" s="17"/>
      <c r="J263" s="17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>
      <c r="A264" s="14"/>
      <c r="B264" s="14"/>
      <c r="C264" s="16"/>
      <c r="D264" s="14"/>
      <c r="E264" s="14"/>
      <c r="F264" s="14"/>
      <c r="G264" s="14"/>
      <c r="H264" s="14"/>
      <c r="I264" s="17"/>
      <c r="J264" s="17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>
      <c r="A265" s="14"/>
      <c r="B265" s="14"/>
      <c r="C265" s="16"/>
      <c r="D265" s="14"/>
      <c r="E265" s="14"/>
      <c r="F265" s="14"/>
      <c r="G265" s="14"/>
      <c r="H265" s="14"/>
      <c r="I265" s="17"/>
      <c r="J265" s="17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>
      <c r="A266" s="14"/>
      <c r="B266" s="14"/>
      <c r="C266" s="16"/>
      <c r="D266" s="14"/>
      <c r="E266" s="14"/>
      <c r="F266" s="14"/>
      <c r="G266" s="14"/>
      <c r="H266" s="14"/>
      <c r="I266" s="17"/>
      <c r="J266" s="17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>
      <c r="A267" s="14"/>
      <c r="B267" s="14"/>
      <c r="C267" s="16"/>
      <c r="D267" s="14"/>
      <c r="E267" s="14"/>
      <c r="F267" s="14"/>
      <c r="G267" s="14"/>
      <c r="H267" s="14"/>
      <c r="I267" s="17"/>
      <c r="J267" s="17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>
      <c r="A268" s="14"/>
      <c r="B268" s="14"/>
      <c r="C268" s="16"/>
      <c r="D268" s="14"/>
      <c r="E268" s="14"/>
      <c r="F268" s="14"/>
      <c r="G268" s="14"/>
      <c r="H268" s="14"/>
      <c r="I268" s="17"/>
      <c r="J268" s="17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>
      <c r="A269" s="14"/>
      <c r="B269" s="14"/>
      <c r="C269" s="16"/>
      <c r="D269" s="14"/>
      <c r="E269" s="14"/>
      <c r="F269" s="14"/>
      <c r="G269" s="14"/>
      <c r="H269" s="14"/>
      <c r="I269" s="17"/>
      <c r="J269" s="17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>
      <c r="A270" s="14"/>
      <c r="B270" s="14"/>
      <c r="C270" s="16"/>
      <c r="D270" s="14"/>
      <c r="E270" s="14"/>
      <c r="F270" s="14"/>
      <c r="G270" s="14"/>
      <c r="H270" s="14"/>
      <c r="I270" s="17"/>
      <c r="J270" s="17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>
      <c r="A271" s="14"/>
      <c r="B271" s="14"/>
      <c r="C271" s="16"/>
      <c r="D271" s="14"/>
      <c r="E271" s="14"/>
      <c r="F271" s="14"/>
      <c r="G271" s="14"/>
      <c r="H271" s="14"/>
      <c r="I271" s="17"/>
      <c r="J271" s="17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>
      <c r="A272" s="14"/>
      <c r="B272" s="14"/>
      <c r="C272" s="16"/>
      <c r="D272" s="14"/>
      <c r="E272" s="14"/>
      <c r="F272" s="14"/>
      <c r="G272" s="14"/>
      <c r="H272" s="14"/>
      <c r="I272" s="17"/>
      <c r="J272" s="17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>
      <c r="A273" s="14"/>
      <c r="B273" s="14"/>
      <c r="C273" s="16"/>
      <c r="D273" s="14"/>
      <c r="E273" s="14"/>
      <c r="F273" s="14"/>
      <c r="G273" s="14"/>
      <c r="H273" s="14"/>
      <c r="I273" s="17"/>
      <c r="J273" s="17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>
      <c r="A274" s="14"/>
      <c r="B274" s="14"/>
      <c r="C274" s="16"/>
      <c r="D274" s="14"/>
      <c r="E274" s="14"/>
      <c r="F274" s="14"/>
      <c r="G274" s="14"/>
      <c r="H274" s="14"/>
      <c r="I274" s="17"/>
      <c r="J274" s="17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>
      <c r="A275" s="14"/>
      <c r="B275" s="14"/>
      <c r="C275" s="16"/>
      <c r="D275" s="14"/>
      <c r="E275" s="14"/>
      <c r="F275" s="14"/>
      <c r="G275" s="14"/>
      <c r="H275" s="14"/>
      <c r="I275" s="17"/>
      <c r="J275" s="17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>
      <c r="A276" s="14"/>
      <c r="B276" s="14"/>
      <c r="C276" s="16"/>
      <c r="D276" s="14"/>
      <c r="E276" s="14"/>
      <c r="F276" s="14"/>
      <c r="G276" s="14"/>
      <c r="H276" s="14"/>
      <c r="I276" s="17"/>
      <c r="J276" s="17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>
      <c r="A277" s="14"/>
      <c r="B277" s="14"/>
      <c r="C277" s="16"/>
      <c r="D277" s="14"/>
      <c r="E277" s="14"/>
      <c r="F277" s="14"/>
      <c r="G277" s="14"/>
      <c r="H277" s="14"/>
      <c r="I277" s="17"/>
      <c r="J277" s="17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>
      <c r="A278" s="14"/>
      <c r="B278" s="14"/>
      <c r="C278" s="16"/>
      <c r="D278" s="14"/>
      <c r="E278" s="14"/>
      <c r="F278" s="14"/>
      <c r="G278" s="14"/>
      <c r="H278" s="14"/>
      <c r="I278" s="17"/>
      <c r="J278" s="17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>
      <c r="A279" s="14"/>
      <c r="B279" s="14"/>
      <c r="C279" s="16"/>
      <c r="D279" s="14"/>
      <c r="E279" s="14"/>
      <c r="F279" s="14"/>
      <c r="G279" s="14"/>
      <c r="H279" s="14"/>
      <c r="I279" s="17"/>
      <c r="J279" s="17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>
      <c r="A280" s="14"/>
      <c r="B280" s="14"/>
      <c r="C280" s="16"/>
      <c r="D280" s="14"/>
      <c r="E280" s="14"/>
      <c r="F280" s="14"/>
      <c r="G280" s="14"/>
      <c r="H280" s="14"/>
      <c r="I280" s="17"/>
      <c r="J280" s="17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>
      <c r="A281" s="14"/>
      <c r="B281" s="14"/>
      <c r="C281" s="16"/>
      <c r="D281" s="14"/>
      <c r="E281" s="14"/>
      <c r="F281" s="14"/>
      <c r="G281" s="14"/>
      <c r="H281" s="14"/>
      <c r="I281" s="17"/>
      <c r="J281" s="17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>
      <c r="A282" s="14"/>
      <c r="B282" s="14"/>
      <c r="C282" s="16"/>
      <c r="D282" s="14"/>
      <c r="E282" s="14"/>
      <c r="F282" s="14"/>
      <c r="G282" s="14"/>
      <c r="H282" s="14"/>
      <c r="I282" s="17"/>
      <c r="J282" s="17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>
      <c r="A283" s="14"/>
      <c r="B283" s="14"/>
      <c r="C283" s="16"/>
      <c r="D283" s="14"/>
      <c r="E283" s="14"/>
      <c r="F283" s="14"/>
      <c r="G283" s="14"/>
      <c r="H283" s="14"/>
      <c r="I283" s="17"/>
      <c r="J283" s="17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>
      <c r="A284" s="14"/>
      <c r="B284" s="14"/>
      <c r="C284" s="16"/>
      <c r="D284" s="14"/>
      <c r="E284" s="14"/>
      <c r="F284" s="14"/>
      <c r="G284" s="14"/>
      <c r="H284" s="14"/>
      <c r="I284" s="17"/>
      <c r="J284" s="17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>
      <c r="A285" s="14"/>
      <c r="B285" s="14"/>
      <c r="C285" s="16"/>
      <c r="D285" s="14"/>
      <c r="E285" s="14"/>
      <c r="F285" s="14"/>
      <c r="G285" s="14"/>
      <c r="H285" s="14"/>
      <c r="I285" s="17"/>
      <c r="J285" s="17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>
      <c r="A286" s="14"/>
      <c r="B286" s="14"/>
      <c r="C286" s="16"/>
      <c r="D286" s="14"/>
      <c r="E286" s="14"/>
      <c r="F286" s="14"/>
      <c r="G286" s="14"/>
      <c r="H286" s="14"/>
      <c r="I286" s="17"/>
      <c r="J286" s="17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>
      <c r="A287" s="14"/>
      <c r="B287" s="14"/>
      <c r="C287" s="16"/>
      <c r="D287" s="14"/>
      <c r="E287" s="14"/>
      <c r="F287" s="14"/>
      <c r="G287" s="14"/>
      <c r="H287" s="14"/>
      <c r="I287" s="17"/>
      <c r="J287" s="17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>
      <c r="A288" s="14"/>
      <c r="B288" s="14"/>
      <c r="C288" s="16"/>
      <c r="D288" s="14"/>
      <c r="E288" s="14"/>
      <c r="F288" s="14"/>
      <c r="G288" s="14"/>
      <c r="H288" s="14"/>
      <c r="I288" s="17"/>
      <c r="J288" s="17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>
      <c r="A289" s="14"/>
      <c r="B289" s="14"/>
      <c r="C289" s="16"/>
      <c r="D289" s="14"/>
      <c r="E289" s="14"/>
      <c r="F289" s="14"/>
      <c r="G289" s="14"/>
      <c r="H289" s="14"/>
      <c r="I289" s="17"/>
      <c r="J289" s="17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>
      <c r="A290" s="14"/>
      <c r="B290" s="14"/>
      <c r="C290" s="16"/>
      <c r="D290" s="14"/>
      <c r="E290" s="14"/>
      <c r="F290" s="14"/>
      <c r="G290" s="14"/>
      <c r="H290" s="14"/>
      <c r="I290" s="17"/>
      <c r="J290" s="17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>
      <c r="A291" s="14"/>
      <c r="B291" s="14"/>
      <c r="C291" s="16"/>
      <c r="D291" s="14"/>
      <c r="E291" s="14"/>
      <c r="F291" s="14"/>
      <c r="G291" s="14"/>
      <c r="H291" s="14"/>
      <c r="I291" s="17"/>
      <c r="J291" s="17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>
      <c r="A292" s="14"/>
      <c r="B292" s="14"/>
      <c r="C292" s="16"/>
      <c r="D292" s="14"/>
      <c r="E292" s="14"/>
      <c r="F292" s="14"/>
      <c r="G292" s="14"/>
      <c r="H292" s="14"/>
      <c r="I292" s="17"/>
      <c r="J292" s="17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>
      <c r="A293" s="14"/>
      <c r="B293" s="14"/>
      <c r="C293" s="16"/>
      <c r="D293" s="14"/>
      <c r="E293" s="14"/>
      <c r="F293" s="14"/>
      <c r="G293" s="14"/>
      <c r="H293" s="14"/>
      <c r="I293" s="17"/>
      <c r="J293" s="17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>
      <c r="A294" s="14"/>
      <c r="B294" s="14"/>
      <c r="C294" s="16"/>
      <c r="D294" s="14"/>
      <c r="E294" s="14"/>
      <c r="F294" s="14"/>
      <c r="G294" s="14"/>
      <c r="H294" s="14"/>
      <c r="I294" s="17"/>
      <c r="J294" s="17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>
      <c r="A295" s="14"/>
      <c r="B295" s="14"/>
      <c r="C295" s="16"/>
      <c r="D295" s="14"/>
      <c r="E295" s="14"/>
      <c r="F295" s="14"/>
      <c r="G295" s="14"/>
      <c r="H295" s="14"/>
      <c r="I295" s="17"/>
      <c r="J295" s="17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>
      <c r="A296" s="14"/>
      <c r="B296" s="14"/>
      <c r="C296" s="16"/>
      <c r="D296" s="14"/>
      <c r="E296" s="14"/>
      <c r="F296" s="14"/>
      <c r="G296" s="14"/>
      <c r="H296" s="14"/>
      <c r="I296" s="17"/>
      <c r="J296" s="17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>
      <c r="A297" s="14"/>
      <c r="B297" s="14"/>
      <c r="C297" s="16"/>
      <c r="D297" s="14"/>
      <c r="E297" s="14"/>
      <c r="F297" s="14"/>
      <c r="G297" s="14"/>
      <c r="H297" s="14"/>
      <c r="I297" s="17"/>
      <c r="J297" s="17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>
      <c r="A298" s="14"/>
      <c r="B298" s="14"/>
      <c r="C298" s="16"/>
      <c r="D298" s="14"/>
      <c r="E298" s="14"/>
      <c r="F298" s="14"/>
      <c r="G298" s="14"/>
      <c r="H298" s="14"/>
      <c r="I298" s="17"/>
      <c r="J298" s="17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>
      <c r="A299" s="14"/>
      <c r="B299" s="14"/>
      <c r="C299" s="16"/>
      <c r="D299" s="14"/>
      <c r="E299" s="14"/>
      <c r="F299" s="14"/>
      <c r="G299" s="14"/>
      <c r="H299" s="14"/>
      <c r="I299" s="17"/>
      <c r="J299" s="17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>
      <c r="A300" s="14"/>
      <c r="B300" s="14"/>
      <c r="C300" s="16"/>
      <c r="D300" s="14"/>
      <c r="E300" s="14"/>
      <c r="F300" s="14"/>
      <c r="G300" s="14"/>
      <c r="H300" s="14"/>
      <c r="I300" s="17"/>
      <c r="J300" s="17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>
      <c r="A301" s="14"/>
      <c r="B301" s="14"/>
      <c r="C301" s="16"/>
      <c r="D301" s="14"/>
      <c r="E301" s="14"/>
      <c r="F301" s="14"/>
      <c r="G301" s="14"/>
      <c r="H301" s="14"/>
      <c r="I301" s="17"/>
      <c r="J301" s="17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>
      <c r="A302" s="14"/>
      <c r="B302" s="14"/>
      <c r="C302" s="16"/>
      <c r="D302" s="14"/>
      <c r="E302" s="14"/>
      <c r="F302" s="14"/>
      <c r="G302" s="14"/>
      <c r="H302" s="14"/>
      <c r="I302" s="17"/>
      <c r="J302" s="17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>
      <c r="A303" s="14"/>
      <c r="B303" s="14"/>
      <c r="C303" s="16"/>
      <c r="D303" s="14"/>
      <c r="E303" s="14"/>
      <c r="F303" s="14"/>
      <c r="G303" s="14"/>
      <c r="H303" s="14"/>
      <c r="I303" s="17"/>
      <c r="J303" s="17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>
      <c r="A304" s="14"/>
      <c r="B304" s="14"/>
      <c r="C304" s="16"/>
      <c r="D304" s="14"/>
      <c r="E304" s="14"/>
      <c r="F304" s="14"/>
      <c r="G304" s="14"/>
      <c r="H304" s="14"/>
      <c r="I304" s="17"/>
      <c r="J304" s="17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>
      <c r="A305" s="14"/>
      <c r="B305" s="14"/>
      <c r="C305" s="16"/>
      <c r="D305" s="14"/>
      <c r="E305" s="14"/>
      <c r="F305" s="14"/>
      <c r="G305" s="14"/>
      <c r="H305" s="14"/>
      <c r="I305" s="17"/>
      <c r="J305" s="17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>
      <c r="A306" s="14"/>
      <c r="B306" s="14"/>
      <c r="C306" s="16"/>
      <c r="D306" s="14"/>
      <c r="E306" s="14"/>
      <c r="F306" s="14"/>
      <c r="G306" s="14"/>
      <c r="H306" s="14"/>
      <c r="I306" s="17"/>
      <c r="J306" s="17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>
      <c r="A307" s="14"/>
      <c r="B307" s="14"/>
      <c r="C307" s="16"/>
      <c r="D307" s="14"/>
      <c r="E307" s="14"/>
      <c r="F307" s="14"/>
      <c r="G307" s="14"/>
      <c r="H307" s="14"/>
      <c r="I307" s="17"/>
      <c r="J307" s="17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>
      <c r="A308" s="14"/>
      <c r="B308" s="14"/>
      <c r="C308" s="16"/>
      <c r="D308" s="14"/>
      <c r="E308" s="14"/>
      <c r="F308" s="14"/>
      <c r="G308" s="14"/>
      <c r="H308" s="14"/>
      <c r="I308" s="17"/>
      <c r="J308" s="17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>
      <c r="A309" s="14"/>
      <c r="B309" s="14"/>
      <c r="C309" s="16"/>
      <c r="D309" s="14"/>
      <c r="E309" s="14"/>
      <c r="F309" s="14"/>
      <c r="G309" s="14"/>
      <c r="H309" s="14"/>
      <c r="I309" s="17"/>
      <c r="J309" s="17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>
      <c r="A310" s="14"/>
      <c r="B310" s="14"/>
      <c r="C310" s="16"/>
      <c r="D310" s="14"/>
      <c r="E310" s="14"/>
      <c r="F310" s="14"/>
      <c r="G310" s="14"/>
      <c r="H310" s="14"/>
      <c r="I310" s="17"/>
      <c r="J310" s="17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>
      <c r="A311" s="14"/>
      <c r="B311" s="14"/>
      <c r="C311" s="16"/>
      <c r="D311" s="14"/>
      <c r="E311" s="14"/>
      <c r="F311" s="14"/>
      <c r="G311" s="14"/>
      <c r="H311" s="14"/>
      <c r="I311" s="17"/>
      <c r="J311" s="17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>
      <c r="A312" s="14"/>
      <c r="B312" s="14"/>
      <c r="C312" s="16"/>
      <c r="D312" s="14"/>
      <c r="E312" s="14"/>
      <c r="F312" s="14"/>
      <c r="G312" s="14"/>
      <c r="H312" s="14"/>
      <c r="I312" s="17"/>
      <c r="J312" s="17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>
      <c r="A313" s="14"/>
      <c r="B313" s="14"/>
      <c r="C313" s="16"/>
      <c r="D313" s="14"/>
      <c r="E313" s="14"/>
      <c r="F313" s="14"/>
      <c r="G313" s="14"/>
      <c r="H313" s="14"/>
      <c r="I313" s="17"/>
      <c r="J313" s="17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>
      <c r="A314" s="14"/>
      <c r="B314" s="14"/>
      <c r="C314" s="16"/>
      <c r="D314" s="14"/>
      <c r="E314" s="14"/>
      <c r="F314" s="14"/>
      <c r="G314" s="14"/>
      <c r="H314" s="14"/>
      <c r="I314" s="17"/>
      <c r="J314" s="17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>
      <c r="A315" s="14"/>
      <c r="B315" s="14"/>
      <c r="C315" s="16"/>
      <c r="D315" s="14"/>
      <c r="E315" s="14"/>
      <c r="F315" s="14"/>
      <c r="G315" s="14"/>
      <c r="H315" s="14"/>
      <c r="I315" s="17"/>
      <c r="J315" s="17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>
      <c r="A316" s="14"/>
      <c r="B316" s="14"/>
      <c r="C316" s="16"/>
      <c r="D316" s="14"/>
      <c r="E316" s="14"/>
      <c r="F316" s="14"/>
      <c r="G316" s="14"/>
      <c r="H316" s="14"/>
      <c r="I316" s="17"/>
      <c r="J316" s="17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>
      <c r="A317" s="14"/>
      <c r="B317" s="14"/>
      <c r="C317" s="16"/>
      <c r="D317" s="14"/>
      <c r="E317" s="14"/>
      <c r="F317" s="14"/>
      <c r="G317" s="14"/>
      <c r="H317" s="14"/>
      <c r="I317" s="17"/>
      <c r="J317" s="17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>
      <c r="A318" s="14"/>
      <c r="B318" s="14"/>
      <c r="C318" s="16"/>
      <c r="D318" s="14"/>
      <c r="E318" s="14"/>
      <c r="F318" s="14"/>
      <c r="G318" s="14"/>
      <c r="H318" s="14"/>
      <c r="I318" s="17"/>
      <c r="J318" s="17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>
      <c r="A319" s="14"/>
      <c r="B319" s="14"/>
      <c r="C319" s="16"/>
      <c r="D319" s="14"/>
      <c r="E319" s="14"/>
      <c r="F319" s="14"/>
      <c r="G319" s="14"/>
      <c r="H319" s="14"/>
      <c r="I319" s="17"/>
      <c r="J319" s="17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>
      <c r="A320" s="14"/>
      <c r="B320" s="14"/>
      <c r="C320" s="16"/>
      <c r="D320" s="14"/>
      <c r="E320" s="14"/>
      <c r="F320" s="14"/>
      <c r="G320" s="14"/>
      <c r="H320" s="14"/>
      <c r="I320" s="17"/>
      <c r="J320" s="17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>
      <c r="A321" s="14"/>
      <c r="B321" s="14"/>
      <c r="C321" s="16"/>
      <c r="D321" s="14"/>
      <c r="E321" s="14"/>
      <c r="F321" s="14"/>
      <c r="G321" s="14"/>
      <c r="H321" s="14"/>
      <c r="I321" s="17"/>
      <c r="J321" s="17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>
      <c r="A322" s="14"/>
      <c r="B322" s="14"/>
      <c r="C322" s="16"/>
      <c r="D322" s="14"/>
      <c r="E322" s="14"/>
      <c r="F322" s="14"/>
      <c r="G322" s="14"/>
      <c r="H322" s="14"/>
      <c r="I322" s="17"/>
      <c r="J322" s="17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>
      <c r="A323" s="14"/>
      <c r="B323" s="14"/>
      <c r="C323" s="16"/>
      <c r="D323" s="14"/>
      <c r="E323" s="14"/>
      <c r="F323" s="14"/>
      <c r="G323" s="14"/>
      <c r="H323" s="14"/>
      <c r="I323" s="17"/>
      <c r="J323" s="17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>
      <c r="A324" s="14"/>
      <c r="B324" s="14"/>
      <c r="C324" s="16"/>
      <c r="D324" s="14"/>
      <c r="E324" s="14"/>
      <c r="F324" s="14"/>
      <c r="G324" s="14"/>
      <c r="H324" s="14"/>
      <c r="I324" s="17"/>
      <c r="J324" s="17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>
      <c r="A325" s="14"/>
      <c r="B325" s="14"/>
      <c r="C325" s="16"/>
      <c r="D325" s="14"/>
      <c r="E325" s="14"/>
      <c r="F325" s="14"/>
      <c r="G325" s="14"/>
      <c r="H325" s="14"/>
      <c r="I325" s="17"/>
      <c r="J325" s="17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>
      <c r="A326" s="14"/>
      <c r="B326" s="14"/>
      <c r="C326" s="16"/>
      <c r="D326" s="14"/>
      <c r="E326" s="14"/>
      <c r="F326" s="14"/>
      <c r="G326" s="14"/>
      <c r="H326" s="14"/>
      <c r="I326" s="17"/>
      <c r="J326" s="17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>
      <c r="A327" s="14"/>
      <c r="B327" s="14"/>
      <c r="C327" s="16"/>
      <c r="D327" s="14"/>
      <c r="E327" s="14"/>
      <c r="F327" s="14"/>
      <c r="G327" s="14"/>
      <c r="H327" s="14"/>
      <c r="I327" s="17"/>
      <c r="J327" s="17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>
      <c r="A328" s="14"/>
      <c r="B328" s="14"/>
      <c r="C328" s="16"/>
      <c r="D328" s="14"/>
      <c r="E328" s="14"/>
      <c r="F328" s="14"/>
      <c r="G328" s="14"/>
      <c r="H328" s="14"/>
      <c r="I328" s="17"/>
      <c r="J328" s="17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>
      <c r="A329" s="14"/>
      <c r="B329" s="14"/>
      <c r="C329" s="16"/>
      <c r="D329" s="14"/>
      <c r="E329" s="14"/>
      <c r="F329" s="14"/>
      <c r="G329" s="14"/>
      <c r="H329" s="14"/>
      <c r="I329" s="17"/>
      <c r="J329" s="17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>
      <c r="A330" s="14"/>
      <c r="B330" s="14"/>
      <c r="C330" s="16"/>
      <c r="D330" s="14"/>
      <c r="E330" s="14"/>
      <c r="F330" s="14"/>
      <c r="G330" s="14"/>
      <c r="H330" s="14"/>
      <c r="I330" s="17"/>
      <c r="J330" s="17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>
      <c r="A331" s="14"/>
      <c r="B331" s="14"/>
      <c r="C331" s="16"/>
      <c r="D331" s="14"/>
      <c r="E331" s="14"/>
      <c r="F331" s="14"/>
      <c r="G331" s="14"/>
      <c r="H331" s="14"/>
      <c r="I331" s="17"/>
      <c r="J331" s="17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>
      <c r="A332" s="14"/>
      <c r="B332" s="14"/>
      <c r="C332" s="16"/>
      <c r="D332" s="14"/>
      <c r="E332" s="14"/>
      <c r="F332" s="14"/>
      <c r="G332" s="14"/>
      <c r="H332" s="14"/>
      <c r="I332" s="17"/>
      <c r="J332" s="17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>
      <c r="A333" s="14"/>
      <c r="B333" s="14"/>
      <c r="C333" s="16"/>
      <c r="D333" s="14"/>
      <c r="E333" s="14"/>
      <c r="F333" s="14"/>
      <c r="G333" s="14"/>
      <c r="H333" s="14"/>
      <c r="I333" s="17"/>
      <c r="J333" s="17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>
      <c r="A334" s="14"/>
      <c r="B334" s="14"/>
      <c r="C334" s="16"/>
      <c r="D334" s="14"/>
      <c r="E334" s="14"/>
      <c r="F334" s="14"/>
      <c r="G334" s="14"/>
      <c r="H334" s="14"/>
      <c r="I334" s="17"/>
      <c r="J334" s="17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>
      <c r="A335" s="14"/>
      <c r="B335" s="14"/>
      <c r="C335" s="16"/>
      <c r="D335" s="14"/>
      <c r="E335" s="14"/>
      <c r="F335" s="14"/>
      <c r="G335" s="14"/>
      <c r="H335" s="14"/>
      <c r="I335" s="17"/>
      <c r="J335" s="17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>
      <c r="A336" s="14"/>
      <c r="B336" s="14"/>
      <c r="C336" s="16"/>
      <c r="D336" s="14"/>
      <c r="E336" s="14"/>
      <c r="F336" s="14"/>
      <c r="G336" s="14"/>
      <c r="H336" s="14"/>
      <c r="I336" s="17"/>
      <c r="J336" s="17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>
      <c r="A337" s="14"/>
      <c r="B337" s="14"/>
      <c r="C337" s="16"/>
      <c r="D337" s="14"/>
      <c r="E337" s="14"/>
      <c r="F337" s="14"/>
      <c r="G337" s="14"/>
      <c r="H337" s="14"/>
      <c r="I337" s="17"/>
      <c r="J337" s="17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>
      <c r="A338" s="14"/>
      <c r="B338" s="14"/>
      <c r="C338" s="16"/>
      <c r="D338" s="14"/>
      <c r="E338" s="14"/>
      <c r="F338" s="14"/>
      <c r="G338" s="14"/>
      <c r="H338" s="14"/>
      <c r="I338" s="17"/>
      <c r="J338" s="17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>
      <c r="A339" s="14"/>
      <c r="B339" s="14"/>
      <c r="C339" s="16"/>
      <c r="D339" s="14"/>
      <c r="E339" s="14"/>
      <c r="F339" s="14"/>
      <c r="G339" s="14"/>
      <c r="H339" s="14"/>
      <c r="I339" s="17"/>
      <c r="J339" s="17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>
      <c r="A340" s="14"/>
      <c r="B340" s="14"/>
      <c r="C340" s="16"/>
      <c r="D340" s="14"/>
      <c r="E340" s="14"/>
      <c r="F340" s="14"/>
      <c r="G340" s="14"/>
      <c r="H340" s="14"/>
      <c r="I340" s="17"/>
      <c r="J340" s="17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>
      <c r="A341" s="14"/>
      <c r="B341" s="14"/>
      <c r="C341" s="16"/>
      <c r="D341" s="14"/>
      <c r="E341" s="14"/>
      <c r="F341" s="14"/>
      <c r="G341" s="14"/>
      <c r="H341" s="14"/>
      <c r="I341" s="17"/>
      <c r="J341" s="17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>
      <c r="A342" s="14"/>
      <c r="B342" s="14"/>
      <c r="C342" s="16"/>
      <c r="D342" s="14"/>
      <c r="E342" s="14"/>
      <c r="F342" s="14"/>
      <c r="G342" s="14"/>
      <c r="H342" s="14"/>
      <c r="I342" s="17"/>
      <c r="J342" s="17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>
      <c r="A343" s="14"/>
      <c r="B343" s="14"/>
      <c r="C343" s="16"/>
      <c r="D343" s="14"/>
      <c r="E343" s="14"/>
      <c r="F343" s="14"/>
      <c r="G343" s="14"/>
      <c r="H343" s="14"/>
      <c r="I343" s="17"/>
      <c r="J343" s="17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>
      <c r="A344" s="14"/>
      <c r="B344" s="14"/>
      <c r="C344" s="16"/>
      <c r="D344" s="14"/>
      <c r="E344" s="14"/>
      <c r="F344" s="14"/>
      <c r="G344" s="14"/>
      <c r="H344" s="14"/>
      <c r="I344" s="17"/>
      <c r="J344" s="17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>
      <c r="A345" s="14"/>
      <c r="B345" s="14"/>
      <c r="C345" s="16"/>
      <c r="D345" s="14"/>
      <c r="E345" s="14"/>
      <c r="F345" s="14"/>
      <c r="G345" s="14"/>
      <c r="H345" s="14"/>
      <c r="I345" s="17"/>
      <c r="J345" s="17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>
      <c r="A346" s="14"/>
      <c r="B346" s="14"/>
      <c r="C346" s="16"/>
      <c r="D346" s="14"/>
      <c r="E346" s="14"/>
      <c r="F346" s="14"/>
      <c r="G346" s="14"/>
      <c r="H346" s="14"/>
      <c r="I346" s="17"/>
      <c r="J346" s="17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>
      <c r="A347" s="14"/>
      <c r="B347" s="14"/>
      <c r="C347" s="16"/>
      <c r="D347" s="14"/>
      <c r="E347" s="14"/>
      <c r="F347" s="14"/>
      <c r="G347" s="14"/>
      <c r="H347" s="14"/>
      <c r="I347" s="17"/>
      <c r="J347" s="17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>
      <c r="A348" s="14"/>
      <c r="B348" s="14"/>
      <c r="C348" s="16"/>
      <c r="D348" s="14"/>
      <c r="E348" s="14"/>
      <c r="F348" s="14"/>
      <c r="G348" s="14"/>
      <c r="H348" s="14"/>
      <c r="I348" s="17"/>
      <c r="J348" s="17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>
      <c r="A349" s="14"/>
      <c r="B349" s="14"/>
      <c r="C349" s="16"/>
      <c r="D349" s="14"/>
      <c r="E349" s="14"/>
      <c r="F349" s="14"/>
      <c r="G349" s="14"/>
      <c r="H349" s="14"/>
      <c r="I349" s="17"/>
      <c r="J349" s="17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>
      <c r="A350" s="14"/>
      <c r="B350" s="14"/>
      <c r="C350" s="16"/>
      <c r="D350" s="14"/>
      <c r="E350" s="14"/>
      <c r="F350" s="14"/>
      <c r="G350" s="14"/>
      <c r="H350" s="14"/>
      <c r="I350" s="17"/>
      <c r="J350" s="17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>
      <c r="A351" s="14"/>
      <c r="B351" s="14"/>
      <c r="C351" s="16"/>
      <c r="D351" s="14"/>
      <c r="E351" s="14"/>
      <c r="F351" s="14"/>
      <c r="G351" s="14"/>
      <c r="H351" s="14"/>
      <c r="I351" s="17"/>
      <c r="J351" s="17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>
      <c r="A352" s="14"/>
      <c r="B352" s="14"/>
      <c r="C352" s="16"/>
      <c r="D352" s="14"/>
      <c r="E352" s="14"/>
      <c r="F352" s="14"/>
      <c r="G352" s="14"/>
      <c r="H352" s="14"/>
      <c r="I352" s="17"/>
      <c r="J352" s="17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>
      <c r="A353" s="14"/>
      <c r="B353" s="14"/>
      <c r="C353" s="16"/>
      <c r="D353" s="14"/>
      <c r="E353" s="14"/>
      <c r="F353" s="14"/>
      <c r="G353" s="14"/>
      <c r="H353" s="14"/>
      <c r="I353" s="17"/>
      <c r="J353" s="17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>
      <c r="A354" s="14"/>
      <c r="B354" s="14"/>
      <c r="C354" s="16"/>
      <c r="D354" s="14"/>
      <c r="E354" s="14"/>
      <c r="F354" s="14"/>
      <c r="G354" s="14"/>
      <c r="H354" s="14"/>
      <c r="I354" s="17"/>
      <c r="J354" s="17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>
      <c r="A355" s="14"/>
      <c r="B355" s="14"/>
      <c r="C355" s="16"/>
      <c r="D355" s="14"/>
      <c r="E355" s="14"/>
      <c r="F355" s="14"/>
      <c r="G355" s="14"/>
      <c r="H355" s="14"/>
      <c r="I355" s="17"/>
      <c r="J355" s="17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>
      <c r="A356" s="14"/>
      <c r="B356" s="14"/>
      <c r="C356" s="16"/>
      <c r="D356" s="14"/>
      <c r="E356" s="14"/>
      <c r="F356" s="14"/>
      <c r="G356" s="14"/>
      <c r="H356" s="14"/>
      <c r="I356" s="17"/>
      <c r="J356" s="17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>
      <c r="A357" s="14"/>
      <c r="B357" s="14"/>
      <c r="C357" s="16"/>
      <c r="D357" s="14"/>
      <c r="E357" s="14"/>
      <c r="F357" s="14"/>
      <c r="G357" s="14"/>
      <c r="H357" s="14"/>
      <c r="I357" s="17"/>
      <c r="J357" s="17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>
      <c r="A358" s="14"/>
      <c r="B358" s="14"/>
      <c r="C358" s="16"/>
      <c r="D358" s="14"/>
      <c r="E358" s="14"/>
      <c r="F358" s="14"/>
      <c r="G358" s="14"/>
      <c r="H358" s="14"/>
      <c r="I358" s="17"/>
      <c r="J358" s="17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>
      <c r="A359" s="14"/>
      <c r="B359" s="14"/>
      <c r="C359" s="16"/>
      <c r="D359" s="14"/>
      <c r="E359" s="14"/>
      <c r="F359" s="14"/>
      <c r="G359" s="14"/>
      <c r="H359" s="14"/>
      <c r="I359" s="17"/>
      <c r="J359" s="17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>
      <c r="A360" s="14"/>
      <c r="B360" s="14"/>
      <c r="C360" s="16"/>
      <c r="D360" s="14"/>
      <c r="E360" s="14"/>
      <c r="F360" s="14"/>
      <c r="G360" s="14"/>
      <c r="H360" s="14"/>
      <c r="I360" s="17"/>
      <c r="J360" s="17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>
      <c r="A361" s="14"/>
      <c r="B361" s="14"/>
      <c r="C361" s="16"/>
      <c r="D361" s="14"/>
      <c r="E361" s="14"/>
      <c r="F361" s="14"/>
      <c r="G361" s="14"/>
      <c r="H361" s="14"/>
      <c r="I361" s="17"/>
      <c r="J361" s="17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>
      <c r="A362" s="14"/>
      <c r="B362" s="14"/>
      <c r="C362" s="16"/>
      <c r="D362" s="14"/>
      <c r="E362" s="14"/>
      <c r="F362" s="14"/>
      <c r="G362" s="14"/>
      <c r="H362" s="14"/>
      <c r="I362" s="17"/>
      <c r="J362" s="17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>
      <c r="A363" s="14"/>
      <c r="B363" s="14"/>
      <c r="C363" s="16"/>
      <c r="D363" s="14"/>
      <c r="E363" s="14"/>
      <c r="F363" s="14"/>
      <c r="G363" s="14"/>
      <c r="H363" s="14"/>
      <c r="I363" s="17"/>
      <c r="J363" s="17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>
      <c r="A364" s="14"/>
      <c r="B364" s="14"/>
      <c r="C364" s="16"/>
      <c r="D364" s="14"/>
      <c r="E364" s="14"/>
      <c r="F364" s="14"/>
      <c r="G364" s="14"/>
      <c r="H364" s="14"/>
      <c r="I364" s="17"/>
      <c r="J364" s="17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>
      <c r="A365" s="14"/>
      <c r="B365" s="14"/>
      <c r="C365" s="16"/>
      <c r="D365" s="14"/>
      <c r="E365" s="14"/>
      <c r="F365" s="14"/>
      <c r="G365" s="14"/>
      <c r="H365" s="14"/>
      <c r="I365" s="17"/>
      <c r="J365" s="17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>
      <c r="A366" s="14"/>
      <c r="B366" s="14"/>
      <c r="C366" s="16"/>
      <c r="D366" s="14"/>
      <c r="E366" s="14"/>
      <c r="F366" s="14"/>
      <c r="G366" s="14"/>
      <c r="H366" s="14"/>
      <c r="I366" s="17"/>
      <c r="J366" s="17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>
      <c r="A367" s="14"/>
      <c r="B367" s="14"/>
      <c r="C367" s="16"/>
      <c r="D367" s="14"/>
      <c r="E367" s="14"/>
      <c r="F367" s="14"/>
      <c r="G367" s="14"/>
      <c r="H367" s="14"/>
      <c r="I367" s="17"/>
      <c r="J367" s="17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>
      <c r="A368" s="14"/>
      <c r="B368" s="14"/>
      <c r="C368" s="16"/>
      <c r="D368" s="14"/>
      <c r="E368" s="14"/>
      <c r="F368" s="14"/>
      <c r="G368" s="14"/>
      <c r="H368" s="14"/>
      <c r="I368" s="17"/>
      <c r="J368" s="17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>
      <c r="A369" s="14"/>
      <c r="B369" s="14"/>
      <c r="C369" s="16"/>
      <c r="D369" s="14"/>
      <c r="E369" s="14"/>
      <c r="F369" s="14"/>
      <c r="G369" s="14"/>
      <c r="H369" s="14"/>
      <c r="I369" s="17"/>
      <c r="J369" s="17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>
      <c r="A370" s="14"/>
      <c r="B370" s="14"/>
      <c r="C370" s="16"/>
      <c r="D370" s="14"/>
      <c r="E370" s="14"/>
      <c r="F370" s="14"/>
      <c r="G370" s="14"/>
      <c r="H370" s="14"/>
      <c r="I370" s="17"/>
      <c r="J370" s="17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>
      <c r="A371" s="14"/>
      <c r="B371" s="14"/>
      <c r="C371" s="16"/>
      <c r="D371" s="14"/>
      <c r="E371" s="14"/>
      <c r="F371" s="14"/>
      <c r="G371" s="14"/>
      <c r="H371" s="14"/>
      <c r="I371" s="17"/>
      <c r="J371" s="17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>
      <c r="A372" s="14"/>
      <c r="B372" s="14"/>
      <c r="C372" s="16"/>
      <c r="D372" s="14"/>
      <c r="E372" s="14"/>
      <c r="F372" s="14"/>
      <c r="G372" s="14"/>
      <c r="H372" s="14"/>
      <c r="I372" s="17"/>
      <c r="J372" s="17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>
      <c r="A373" s="14"/>
      <c r="B373" s="14"/>
      <c r="C373" s="16"/>
      <c r="D373" s="14"/>
      <c r="E373" s="14"/>
      <c r="F373" s="14"/>
      <c r="G373" s="14"/>
      <c r="H373" s="14"/>
      <c r="I373" s="17"/>
      <c r="J373" s="17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>
      <c r="A374" s="14"/>
      <c r="B374" s="14"/>
      <c r="C374" s="16"/>
      <c r="D374" s="14"/>
      <c r="E374" s="14"/>
      <c r="F374" s="14"/>
      <c r="G374" s="14"/>
      <c r="H374" s="14"/>
      <c r="I374" s="17"/>
      <c r="J374" s="17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>
      <c r="A375" s="14"/>
      <c r="B375" s="14"/>
      <c r="C375" s="16"/>
      <c r="D375" s="14"/>
      <c r="E375" s="14"/>
      <c r="F375" s="14"/>
      <c r="G375" s="14"/>
      <c r="H375" s="14"/>
      <c r="I375" s="17"/>
      <c r="J375" s="17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>
      <c r="A376" s="14"/>
      <c r="B376" s="14"/>
      <c r="C376" s="16"/>
      <c r="D376" s="14"/>
      <c r="E376" s="14"/>
      <c r="F376" s="14"/>
      <c r="G376" s="14"/>
      <c r="H376" s="14"/>
      <c r="I376" s="17"/>
      <c r="J376" s="17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>
      <c r="A377" s="14"/>
      <c r="B377" s="14"/>
      <c r="C377" s="16"/>
      <c r="D377" s="14"/>
      <c r="E377" s="14"/>
      <c r="F377" s="14"/>
      <c r="G377" s="14"/>
      <c r="H377" s="14"/>
      <c r="I377" s="17"/>
      <c r="J377" s="17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>
      <c r="A378" s="14"/>
      <c r="B378" s="14"/>
      <c r="C378" s="16"/>
      <c r="D378" s="14"/>
      <c r="E378" s="14"/>
      <c r="F378" s="14"/>
      <c r="G378" s="14"/>
      <c r="H378" s="14"/>
      <c r="I378" s="17"/>
      <c r="J378" s="17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>
      <c r="A379" s="14"/>
      <c r="B379" s="14"/>
      <c r="C379" s="16"/>
      <c r="D379" s="14"/>
      <c r="E379" s="14"/>
      <c r="F379" s="14"/>
      <c r="G379" s="14"/>
      <c r="H379" s="14"/>
      <c r="I379" s="17"/>
      <c r="J379" s="17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>
      <c r="A380" s="14"/>
      <c r="B380" s="14"/>
      <c r="C380" s="16"/>
      <c r="D380" s="14"/>
      <c r="E380" s="14"/>
      <c r="F380" s="14"/>
      <c r="G380" s="14"/>
      <c r="H380" s="14"/>
      <c r="I380" s="17"/>
      <c r="J380" s="17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>
      <c r="A381" s="14"/>
      <c r="B381" s="14"/>
      <c r="C381" s="16"/>
      <c r="D381" s="14"/>
      <c r="E381" s="14"/>
      <c r="F381" s="14"/>
      <c r="G381" s="14"/>
      <c r="H381" s="14"/>
      <c r="I381" s="17"/>
      <c r="J381" s="17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>
      <c r="A382" s="14"/>
      <c r="B382" s="14"/>
      <c r="C382" s="16"/>
      <c r="D382" s="14"/>
      <c r="E382" s="14"/>
      <c r="F382" s="14"/>
      <c r="G382" s="14"/>
      <c r="H382" s="14"/>
      <c r="I382" s="17"/>
      <c r="J382" s="17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>
      <c r="A383" s="14"/>
      <c r="B383" s="14"/>
      <c r="C383" s="16"/>
      <c r="D383" s="14"/>
      <c r="E383" s="14"/>
      <c r="F383" s="14"/>
      <c r="G383" s="14"/>
      <c r="H383" s="14"/>
      <c r="I383" s="17"/>
      <c r="J383" s="17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>
      <c r="A384" s="14"/>
      <c r="B384" s="14"/>
      <c r="C384" s="16"/>
      <c r="D384" s="14"/>
      <c r="E384" s="14"/>
      <c r="F384" s="14"/>
      <c r="G384" s="14"/>
      <c r="H384" s="14"/>
      <c r="I384" s="17"/>
      <c r="J384" s="17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>
      <c r="A385" s="14"/>
      <c r="B385" s="14"/>
      <c r="C385" s="16"/>
      <c r="D385" s="14"/>
      <c r="E385" s="14"/>
      <c r="F385" s="14"/>
      <c r="G385" s="14"/>
      <c r="H385" s="14"/>
      <c r="I385" s="17"/>
      <c r="J385" s="17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>
      <c r="A386" s="14"/>
      <c r="B386" s="14"/>
      <c r="C386" s="16"/>
      <c r="D386" s="14"/>
      <c r="E386" s="14"/>
      <c r="F386" s="14"/>
      <c r="G386" s="14"/>
      <c r="H386" s="14"/>
      <c r="I386" s="17"/>
      <c r="J386" s="17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>
      <c r="A387" s="14"/>
      <c r="B387" s="14"/>
      <c r="C387" s="16"/>
      <c r="D387" s="14"/>
      <c r="E387" s="14"/>
      <c r="F387" s="14"/>
      <c r="G387" s="14"/>
      <c r="H387" s="14"/>
      <c r="I387" s="17"/>
      <c r="J387" s="17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>
      <c r="A388" s="14"/>
      <c r="B388" s="14"/>
      <c r="C388" s="16"/>
      <c r="D388" s="14"/>
      <c r="E388" s="14"/>
      <c r="F388" s="14"/>
      <c r="G388" s="14"/>
      <c r="H388" s="14"/>
      <c r="I388" s="17"/>
      <c r="J388" s="17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>
      <c r="A389" s="14"/>
      <c r="B389" s="14"/>
      <c r="C389" s="16"/>
      <c r="D389" s="14"/>
      <c r="E389" s="14"/>
      <c r="F389" s="14"/>
      <c r="G389" s="14"/>
      <c r="H389" s="14"/>
      <c r="I389" s="17"/>
      <c r="J389" s="17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>
      <c r="A390" s="14"/>
      <c r="B390" s="14"/>
      <c r="C390" s="16"/>
      <c r="D390" s="14"/>
      <c r="E390" s="14"/>
      <c r="F390" s="14"/>
      <c r="G390" s="14"/>
      <c r="H390" s="14"/>
      <c r="I390" s="17"/>
      <c r="J390" s="17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>
      <c r="A391" s="14"/>
      <c r="B391" s="14"/>
      <c r="C391" s="16"/>
      <c r="D391" s="14"/>
      <c r="E391" s="14"/>
      <c r="F391" s="14"/>
      <c r="G391" s="14"/>
      <c r="H391" s="14"/>
      <c r="I391" s="17"/>
      <c r="J391" s="17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>
      <c r="A392" s="14"/>
      <c r="B392" s="14"/>
      <c r="C392" s="16"/>
      <c r="D392" s="14"/>
      <c r="E392" s="14"/>
      <c r="F392" s="14"/>
      <c r="G392" s="14"/>
      <c r="H392" s="14"/>
      <c r="I392" s="17"/>
      <c r="J392" s="17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>
      <c r="A393" s="14"/>
      <c r="B393" s="14"/>
      <c r="C393" s="16"/>
      <c r="D393" s="14"/>
      <c r="E393" s="14"/>
      <c r="F393" s="14"/>
      <c r="G393" s="14"/>
      <c r="H393" s="14"/>
      <c r="I393" s="17"/>
      <c r="J393" s="17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>
      <c r="A394" s="14"/>
      <c r="B394" s="14"/>
      <c r="C394" s="16"/>
      <c r="D394" s="14"/>
      <c r="E394" s="14"/>
      <c r="F394" s="14"/>
      <c r="G394" s="14"/>
      <c r="H394" s="14"/>
      <c r="I394" s="17"/>
      <c r="J394" s="17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>
      <c r="A395" s="14"/>
      <c r="B395" s="14"/>
      <c r="C395" s="16"/>
      <c r="D395" s="14"/>
      <c r="E395" s="14"/>
      <c r="F395" s="14"/>
      <c r="G395" s="14"/>
      <c r="H395" s="14"/>
      <c r="I395" s="17"/>
      <c r="J395" s="17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>
      <c r="A396" s="14"/>
      <c r="B396" s="14"/>
      <c r="C396" s="16"/>
      <c r="D396" s="14"/>
      <c r="E396" s="14"/>
      <c r="F396" s="14"/>
      <c r="G396" s="14"/>
      <c r="H396" s="14"/>
      <c r="I396" s="17"/>
      <c r="J396" s="17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>
      <c r="A397" s="14"/>
      <c r="B397" s="14"/>
      <c r="C397" s="16"/>
      <c r="D397" s="14"/>
      <c r="E397" s="14"/>
      <c r="F397" s="14"/>
      <c r="G397" s="14"/>
      <c r="H397" s="14"/>
      <c r="I397" s="17"/>
      <c r="J397" s="17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>
      <c r="A398" s="14"/>
      <c r="B398" s="14"/>
      <c r="C398" s="16"/>
      <c r="D398" s="14"/>
      <c r="E398" s="14"/>
      <c r="F398" s="14"/>
      <c r="G398" s="14"/>
      <c r="H398" s="14"/>
      <c r="I398" s="17"/>
      <c r="J398" s="17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>
      <c r="A399" s="14"/>
      <c r="B399" s="14"/>
      <c r="C399" s="16"/>
      <c r="D399" s="14"/>
      <c r="E399" s="14"/>
      <c r="F399" s="14"/>
      <c r="G399" s="14"/>
      <c r="H399" s="14"/>
      <c r="I399" s="17"/>
      <c r="J399" s="17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>
      <c r="A400" s="14"/>
      <c r="B400" s="14"/>
      <c r="C400" s="16"/>
      <c r="D400" s="14"/>
      <c r="E400" s="14"/>
      <c r="F400" s="14"/>
      <c r="G400" s="14"/>
      <c r="H400" s="14"/>
      <c r="I400" s="17"/>
      <c r="J400" s="17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>
      <c r="A401" s="14"/>
      <c r="B401" s="14"/>
      <c r="C401" s="16"/>
      <c r="D401" s="14"/>
      <c r="E401" s="14"/>
      <c r="F401" s="14"/>
      <c r="G401" s="14"/>
      <c r="H401" s="14"/>
      <c r="I401" s="17"/>
      <c r="J401" s="17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>
      <c r="A402" s="14"/>
      <c r="B402" s="14"/>
      <c r="C402" s="16"/>
      <c r="D402" s="14"/>
      <c r="E402" s="14"/>
      <c r="F402" s="14"/>
      <c r="G402" s="14"/>
      <c r="H402" s="14"/>
      <c r="I402" s="17"/>
      <c r="J402" s="17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>
      <c r="A403" s="14"/>
      <c r="B403" s="14"/>
      <c r="C403" s="16"/>
      <c r="D403" s="14"/>
      <c r="E403" s="14"/>
      <c r="F403" s="14"/>
      <c r="G403" s="14"/>
      <c r="H403" s="14"/>
      <c r="I403" s="17"/>
      <c r="J403" s="17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>
      <c r="A404" s="14"/>
      <c r="B404" s="14"/>
      <c r="C404" s="16"/>
      <c r="D404" s="14"/>
      <c r="E404" s="14"/>
      <c r="F404" s="14"/>
      <c r="G404" s="14"/>
      <c r="H404" s="14"/>
      <c r="I404" s="17"/>
      <c r="J404" s="17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>
      <c r="A405" s="14"/>
      <c r="B405" s="14"/>
      <c r="C405" s="16"/>
      <c r="D405" s="14"/>
      <c r="E405" s="14"/>
      <c r="F405" s="14"/>
      <c r="G405" s="14"/>
      <c r="H405" s="14"/>
      <c r="I405" s="17"/>
      <c r="J405" s="17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>
      <c r="A406" s="14"/>
      <c r="B406" s="14"/>
      <c r="C406" s="16"/>
      <c r="D406" s="14"/>
      <c r="E406" s="14"/>
      <c r="F406" s="14"/>
      <c r="G406" s="14"/>
      <c r="H406" s="14"/>
      <c r="I406" s="17"/>
      <c r="J406" s="17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>
      <c r="A407" s="14"/>
      <c r="B407" s="14"/>
      <c r="C407" s="16"/>
      <c r="D407" s="14"/>
      <c r="E407" s="14"/>
      <c r="F407" s="14"/>
      <c r="G407" s="14"/>
      <c r="H407" s="14"/>
      <c r="I407" s="17"/>
      <c r="J407" s="17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>
      <c r="A408" s="14"/>
      <c r="B408" s="14"/>
      <c r="C408" s="16"/>
      <c r="D408" s="14"/>
      <c r="E408" s="14"/>
      <c r="F408" s="14"/>
      <c r="G408" s="14"/>
      <c r="H408" s="14"/>
      <c r="I408" s="17"/>
      <c r="J408" s="17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>
      <c r="A409" s="14"/>
      <c r="B409" s="14"/>
      <c r="C409" s="16"/>
      <c r="D409" s="14"/>
      <c r="E409" s="14"/>
      <c r="F409" s="14"/>
      <c r="G409" s="14"/>
      <c r="H409" s="14"/>
      <c r="I409" s="17"/>
      <c r="J409" s="17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>
      <c r="A410" s="14"/>
      <c r="B410" s="14"/>
      <c r="C410" s="16"/>
      <c r="D410" s="14"/>
      <c r="E410" s="14"/>
      <c r="F410" s="14"/>
      <c r="G410" s="14"/>
      <c r="H410" s="14"/>
      <c r="I410" s="17"/>
      <c r="J410" s="17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>
      <c r="A411" s="14"/>
      <c r="B411" s="14"/>
      <c r="C411" s="16"/>
      <c r="D411" s="14"/>
      <c r="E411" s="14"/>
      <c r="F411" s="14"/>
      <c r="G411" s="14"/>
      <c r="H411" s="14"/>
      <c r="I411" s="17"/>
      <c r="J411" s="17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>
      <c r="A412" s="14"/>
      <c r="B412" s="14"/>
      <c r="C412" s="16"/>
      <c r="D412" s="14"/>
      <c r="E412" s="14"/>
      <c r="F412" s="14"/>
      <c r="G412" s="14"/>
      <c r="H412" s="14"/>
      <c r="I412" s="17"/>
      <c r="J412" s="17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>
      <c r="A413" s="14"/>
      <c r="B413" s="14"/>
      <c r="C413" s="16"/>
      <c r="D413" s="14"/>
      <c r="E413" s="14"/>
      <c r="F413" s="14"/>
      <c r="G413" s="14"/>
      <c r="H413" s="14"/>
      <c r="I413" s="17"/>
      <c r="J413" s="17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>
      <c r="A414" s="14"/>
      <c r="B414" s="14"/>
      <c r="C414" s="16"/>
      <c r="D414" s="14"/>
      <c r="E414" s="14"/>
      <c r="F414" s="14"/>
      <c r="G414" s="14"/>
      <c r="H414" s="14"/>
      <c r="I414" s="17"/>
      <c r="J414" s="17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>
      <c r="A415" s="14"/>
      <c r="B415" s="14"/>
      <c r="C415" s="16"/>
      <c r="D415" s="14"/>
      <c r="E415" s="14"/>
      <c r="F415" s="14"/>
      <c r="G415" s="14"/>
      <c r="H415" s="14"/>
      <c r="I415" s="17"/>
      <c r="J415" s="17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>
      <c r="A416" s="14"/>
      <c r="B416" s="14"/>
      <c r="C416" s="16"/>
      <c r="D416" s="14"/>
      <c r="E416" s="14"/>
      <c r="F416" s="14"/>
      <c r="G416" s="14"/>
      <c r="H416" s="14"/>
      <c r="I416" s="17"/>
      <c r="J416" s="17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>
      <c r="A417" s="14"/>
      <c r="B417" s="14"/>
      <c r="C417" s="16"/>
      <c r="D417" s="14"/>
      <c r="E417" s="14"/>
      <c r="F417" s="14"/>
      <c r="G417" s="14"/>
      <c r="H417" s="14"/>
      <c r="I417" s="17"/>
      <c r="J417" s="17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>
      <c r="A418" s="14"/>
      <c r="B418" s="14"/>
      <c r="C418" s="16"/>
      <c r="D418" s="14"/>
      <c r="E418" s="14"/>
      <c r="F418" s="14"/>
      <c r="G418" s="14"/>
      <c r="H418" s="14"/>
      <c r="I418" s="17"/>
      <c r="J418" s="17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>
      <c r="A419" s="14"/>
      <c r="B419" s="14"/>
      <c r="C419" s="16"/>
      <c r="D419" s="14"/>
      <c r="E419" s="14"/>
      <c r="F419" s="14"/>
      <c r="G419" s="14"/>
      <c r="H419" s="14"/>
      <c r="I419" s="17"/>
      <c r="J419" s="17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>
      <c r="A420" s="14"/>
      <c r="B420" s="14"/>
      <c r="C420" s="16"/>
      <c r="D420" s="14"/>
      <c r="E420" s="14"/>
      <c r="F420" s="14"/>
      <c r="G420" s="14"/>
      <c r="H420" s="14"/>
      <c r="I420" s="17"/>
      <c r="J420" s="17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>
      <c r="A421" s="14"/>
      <c r="B421" s="14"/>
      <c r="C421" s="16"/>
      <c r="D421" s="14"/>
      <c r="E421" s="14"/>
      <c r="F421" s="14"/>
      <c r="G421" s="14"/>
      <c r="H421" s="14"/>
      <c r="I421" s="17"/>
      <c r="J421" s="17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>
      <c r="A422" s="14"/>
      <c r="B422" s="14"/>
      <c r="C422" s="16"/>
      <c r="D422" s="14"/>
      <c r="E422" s="14"/>
      <c r="F422" s="14"/>
      <c r="G422" s="14"/>
      <c r="H422" s="14"/>
      <c r="I422" s="17"/>
      <c r="J422" s="17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>
      <c r="A423" s="14"/>
      <c r="B423" s="14"/>
      <c r="C423" s="16"/>
      <c r="D423" s="14"/>
      <c r="E423" s="14"/>
      <c r="F423" s="14"/>
      <c r="G423" s="14"/>
      <c r="H423" s="14"/>
      <c r="I423" s="17"/>
      <c r="J423" s="17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>
      <c r="A424" s="14"/>
      <c r="B424" s="14"/>
      <c r="C424" s="16"/>
      <c r="D424" s="14"/>
      <c r="E424" s="14"/>
      <c r="F424" s="14"/>
      <c r="G424" s="14"/>
      <c r="H424" s="14"/>
      <c r="I424" s="17"/>
      <c r="J424" s="17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>
      <c r="A425" s="14"/>
      <c r="B425" s="14"/>
      <c r="C425" s="16"/>
      <c r="D425" s="14"/>
      <c r="E425" s="14"/>
      <c r="F425" s="14"/>
      <c r="G425" s="14"/>
      <c r="H425" s="14"/>
      <c r="I425" s="17"/>
      <c r="J425" s="17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>
      <c r="A426" s="14"/>
      <c r="B426" s="14"/>
      <c r="C426" s="16"/>
      <c r="D426" s="14"/>
      <c r="E426" s="14"/>
      <c r="F426" s="14"/>
      <c r="G426" s="14"/>
      <c r="H426" s="14"/>
      <c r="I426" s="17"/>
      <c r="J426" s="17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>
      <c r="A427" s="14"/>
      <c r="B427" s="14"/>
      <c r="C427" s="16"/>
      <c r="D427" s="14"/>
      <c r="E427" s="14"/>
      <c r="F427" s="14"/>
      <c r="G427" s="14"/>
      <c r="H427" s="14"/>
      <c r="I427" s="17"/>
      <c r="J427" s="17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>
      <c r="A428" s="14"/>
      <c r="B428" s="14"/>
      <c r="C428" s="16"/>
      <c r="D428" s="14"/>
      <c r="E428" s="14"/>
      <c r="F428" s="14"/>
      <c r="G428" s="14"/>
      <c r="H428" s="14"/>
      <c r="I428" s="17"/>
      <c r="J428" s="17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>
      <c r="A429" s="14"/>
      <c r="B429" s="14"/>
      <c r="C429" s="16"/>
      <c r="D429" s="14"/>
      <c r="E429" s="14"/>
      <c r="F429" s="14"/>
      <c r="G429" s="14"/>
      <c r="H429" s="14"/>
      <c r="I429" s="17"/>
      <c r="J429" s="17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>
      <c r="A430" s="14"/>
      <c r="B430" s="14"/>
      <c r="C430" s="16"/>
      <c r="D430" s="14"/>
      <c r="E430" s="14"/>
      <c r="F430" s="14"/>
      <c r="G430" s="14"/>
      <c r="H430" s="14"/>
      <c r="I430" s="17"/>
      <c r="J430" s="17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>
      <c r="A431" s="14"/>
      <c r="B431" s="14"/>
      <c r="C431" s="16"/>
      <c r="D431" s="14"/>
      <c r="E431" s="14"/>
      <c r="F431" s="14"/>
      <c r="G431" s="14"/>
      <c r="H431" s="14"/>
      <c r="I431" s="17"/>
      <c r="J431" s="17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>
      <c r="A432" s="14"/>
      <c r="B432" s="14"/>
      <c r="C432" s="16"/>
      <c r="D432" s="14"/>
      <c r="E432" s="14"/>
      <c r="F432" s="14"/>
      <c r="G432" s="14"/>
      <c r="H432" s="14"/>
      <c r="I432" s="17"/>
      <c r="J432" s="17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>
      <c r="A433" s="14"/>
      <c r="B433" s="14"/>
      <c r="C433" s="16"/>
      <c r="D433" s="14"/>
      <c r="E433" s="14"/>
      <c r="F433" s="14"/>
      <c r="G433" s="14"/>
      <c r="H433" s="14"/>
      <c r="I433" s="17"/>
      <c r="J433" s="17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>
      <c r="A434" s="14"/>
      <c r="B434" s="14"/>
      <c r="C434" s="16"/>
      <c r="D434" s="14"/>
      <c r="E434" s="14"/>
      <c r="F434" s="14"/>
      <c r="G434" s="14"/>
      <c r="H434" s="14"/>
      <c r="I434" s="17"/>
      <c r="J434" s="17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>
      <c r="A435" s="14"/>
      <c r="B435" s="14"/>
      <c r="C435" s="16"/>
      <c r="D435" s="14"/>
      <c r="E435" s="14"/>
      <c r="F435" s="14"/>
      <c r="G435" s="14"/>
      <c r="H435" s="14"/>
      <c r="I435" s="17"/>
      <c r="J435" s="17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>
      <c r="A436" s="14"/>
      <c r="B436" s="14"/>
      <c r="C436" s="16"/>
      <c r="D436" s="14"/>
      <c r="E436" s="14"/>
      <c r="F436" s="14"/>
      <c r="G436" s="14"/>
      <c r="H436" s="14"/>
      <c r="I436" s="17"/>
      <c r="J436" s="17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>
      <c r="A437" s="14"/>
      <c r="B437" s="14"/>
      <c r="C437" s="16"/>
      <c r="D437" s="14"/>
      <c r="E437" s="14"/>
      <c r="F437" s="14"/>
      <c r="G437" s="14"/>
      <c r="H437" s="14"/>
      <c r="I437" s="17"/>
      <c r="J437" s="17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>
      <c r="A438" s="14"/>
      <c r="B438" s="14"/>
      <c r="C438" s="16"/>
      <c r="D438" s="14"/>
      <c r="E438" s="14"/>
      <c r="F438" s="14"/>
      <c r="G438" s="14"/>
      <c r="H438" s="14"/>
      <c r="I438" s="17"/>
      <c r="J438" s="17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>
      <c r="A439" s="14"/>
      <c r="B439" s="14"/>
      <c r="C439" s="16"/>
      <c r="D439" s="14"/>
      <c r="E439" s="14"/>
      <c r="F439" s="14"/>
      <c r="G439" s="14"/>
      <c r="H439" s="14"/>
      <c r="I439" s="17"/>
      <c r="J439" s="17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>
      <c r="A440" s="14"/>
      <c r="B440" s="14"/>
      <c r="C440" s="16"/>
      <c r="D440" s="14"/>
      <c r="E440" s="14"/>
      <c r="F440" s="14"/>
      <c r="G440" s="14"/>
      <c r="H440" s="14"/>
      <c r="I440" s="17"/>
      <c r="J440" s="17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>
      <c r="A441" s="14"/>
      <c r="B441" s="14"/>
      <c r="C441" s="16"/>
      <c r="D441" s="14"/>
      <c r="E441" s="14"/>
      <c r="F441" s="14"/>
      <c r="G441" s="14"/>
      <c r="H441" s="14"/>
      <c r="I441" s="17"/>
      <c r="J441" s="17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>
      <c r="A442" s="14"/>
      <c r="B442" s="14"/>
      <c r="C442" s="16"/>
      <c r="D442" s="14"/>
      <c r="E442" s="14"/>
      <c r="F442" s="14"/>
      <c r="G442" s="14"/>
      <c r="H442" s="14"/>
      <c r="I442" s="17"/>
      <c r="J442" s="17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>
      <c r="A443" s="14"/>
      <c r="B443" s="14"/>
      <c r="C443" s="16"/>
      <c r="D443" s="14"/>
      <c r="E443" s="14"/>
      <c r="F443" s="14"/>
      <c r="G443" s="14"/>
      <c r="H443" s="14"/>
      <c r="I443" s="17"/>
      <c r="J443" s="17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>
      <c r="A444" s="14"/>
      <c r="B444" s="14"/>
      <c r="C444" s="16"/>
      <c r="D444" s="14"/>
      <c r="E444" s="14"/>
      <c r="F444" s="14"/>
      <c r="G444" s="14"/>
      <c r="H444" s="14"/>
      <c r="I444" s="17"/>
      <c r="J444" s="17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>
      <c r="A445" s="14"/>
      <c r="B445" s="14"/>
      <c r="C445" s="16"/>
      <c r="D445" s="14"/>
      <c r="E445" s="14"/>
      <c r="F445" s="14"/>
      <c r="G445" s="14"/>
      <c r="H445" s="14"/>
      <c r="I445" s="17"/>
      <c r="J445" s="17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>
      <c r="A446" s="14"/>
      <c r="B446" s="14"/>
      <c r="C446" s="16"/>
      <c r="D446" s="14"/>
      <c r="E446" s="14"/>
      <c r="F446" s="14"/>
      <c r="G446" s="14"/>
      <c r="H446" s="14"/>
      <c r="I446" s="17"/>
      <c r="J446" s="17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>
      <c r="A447" s="14"/>
      <c r="B447" s="14"/>
      <c r="C447" s="16"/>
      <c r="D447" s="14"/>
      <c r="E447" s="14"/>
      <c r="F447" s="14"/>
      <c r="G447" s="14"/>
      <c r="H447" s="14"/>
      <c r="I447" s="17"/>
      <c r="J447" s="17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>
      <c r="A448" s="14"/>
      <c r="B448" s="14"/>
      <c r="C448" s="16"/>
      <c r="D448" s="14"/>
      <c r="E448" s="14"/>
      <c r="F448" s="14"/>
      <c r="G448" s="14"/>
      <c r="H448" s="14"/>
      <c r="I448" s="17"/>
      <c r="J448" s="17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>
      <c r="A449" s="14"/>
      <c r="B449" s="14"/>
      <c r="C449" s="16"/>
      <c r="D449" s="14"/>
      <c r="E449" s="14"/>
      <c r="F449" s="14"/>
      <c r="G449" s="14"/>
      <c r="H449" s="14"/>
      <c r="I449" s="17"/>
      <c r="J449" s="17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>
      <c r="A450" s="14"/>
      <c r="B450" s="14"/>
      <c r="C450" s="16"/>
      <c r="D450" s="14"/>
      <c r="E450" s="14"/>
      <c r="F450" s="14"/>
      <c r="G450" s="14"/>
      <c r="H450" s="14"/>
      <c r="I450" s="17"/>
      <c r="J450" s="17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>
      <c r="A451" s="14"/>
      <c r="B451" s="14"/>
      <c r="C451" s="16"/>
      <c r="D451" s="14"/>
      <c r="E451" s="14"/>
      <c r="F451" s="14"/>
      <c r="G451" s="14"/>
      <c r="H451" s="14"/>
      <c r="I451" s="17"/>
      <c r="J451" s="17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>
      <c r="A452" s="14"/>
      <c r="B452" s="14"/>
      <c r="C452" s="16"/>
      <c r="D452" s="14"/>
      <c r="E452" s="14"/>
      <c r="F452" s="14"/>
      <c r="G452" s="14"/>
      <c r="H452" s="14"/>
      <c r="I452" s="17"/>
      <c r="J452" s="17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>
      <c r="A453" s="14"/>
      <c r="B453" s="14"/>
      <c r="C453" s="16"/>
      <c r="D453" s="14"/>
      <c r="E453" s="14"/>
      <c r="F453" s="14"/>
      <c r="G453" s="14"/>
      <c r="H453" s="14"/>
      <c r="I453" s="17"/>
      <c r="J453" s="17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>
      <c r="A454" s="14"/>
      <c r="B454" s="14"/>
      <c r="C454" s="16"/>
      <c r="D454" s="14"/>
      <c r="E454" s="14"/>
      <c r="F454" s="14"/>
      <c r="G454" s="14"/>
      <c r="H454" s="14"/>
      <c r="I454" s="17"/>
      <c r="J454" s="17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>
      <c r="A455" s="14"/>
      <c r="B455" s="14"/>
      <c r="C455" s="16"/>
      <c r="D455" s="14"/>
      <c r="E455" s="14"/>
      <c r="F455" s="14"/>
      <c r="G455" s="14"/>
      <c r="H455" s="14"/>
      <c r="I455" s="17"/>
      <c r="J455" s="17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>
      <c r="A456" s="14"/>
      <c r="B456" s="14"/>
      <c r="C456" s="16"/>
      <c r="D456" s="14"/>
      <c r="E456" s="14"/>
      <c r="F456" s="14"/>
      <c r="G456" s="14"/>
      <c r="H456" s="14"/>
      <c r="I456" s="17"/>
      <c r="J456" s="17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>
      <c r="A457" s="14"/>
      <c r="B457" s="14"/>
      <c r="C457" s="16"/>
      <c r="D457" s="14"/>
      <c r="E457" s="14"/>
      <c r="F457" s="14"/>
      <c r="G457" s="14"/>
      <c r="H457" s="14"/>
      <c r="I457" s="17"/>
      <c r="J457" s="17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>
      <c r="A458" s="14"/>
      <c r="B458" s="14"/>
      <c r="C458" s="16"/>
      <c r="D458" s="14"/>
      <c r="E458" s="14"/>
      <c r="F458" s="14"/>
      <c r="G458" s="14"/>
      <c r="H458" s="14"/>
      <c r="I458" s="17"/>
      <c r="J458" s="17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>
      <c r="A459" s="14"/>
      <c r="B459" s="14"/>
      <c r="C459" s="16"/>
      <c r="D459" s="14"/>
      <c r="E459" s="14"/>
      <c r="F459" s="14"/>
      <c r="G459" s="14"/>
      <c r="H459" s="14"/>
      <c r="I459" s="17"/>
      <c r="J459" s="17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>
      <c r="A460" s="14"/>
      <c r="B460" s="14"/>
      <c r="C460" s="16"/>
      <c r="D460" s="14"/>
      <c r="E460" s="14"/>
      <c r="F460" s="14"/>
      <c r="G460" s="14"/>
      <c r="H460" s="14"/>
      <c r="I460" s="17"/>
      <c r="J460" s="17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>
      <c r="A461" s="14"/>
      <c r="B461" s="14"/>
      <c r="C461" s="16"/>
      <c r="D461" s="14"/>
      <c r="E461" s="14"/>
      <c r="F461" s="14"/>
      <c r="G461" s="14"/>
      <c r="H461" s="14"/>
      <c r="I461" s="17"/>
      <c r="J461" s="17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>
      <c r="A462" s="14"/>
      <c r="B462" s="14"/>
      <c r="C462" s="16"/>
      <c r="D462" s="14"/>
      <c r="E462" s="14"/>
      <c r="F462" s="14"/>
      <c r="G462" s="14"/>
      <c r="H462" s="14"/>
      <c r="I462" s="17"/>
      <c r="J462" s="17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>
      <c r="A463" s="14"/>
      <c r="B463" s="14"/>
      <c r="C463" s="16"/>
      <c r="D463" s="14"/>
      <c r="E463" s="14"/>
      <c r="F463" s="14"/>
      <c r="G463" s="14"/>
      <c r="H463" s="14"/>
      <c r="I463" s="17"/>
      <c r="J463" s="17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>
      <c r="A464" s="14"/>
      <c r="B464" s="14"/>
      <c r="C464" s="16"/>
      <c r="D464" s="14"/>
      <c r="E464" s="14"/>
      <c r="F464" s="14"/>
      <c r="G464" s="14"/>
      <c r="H464" s="14"/>
      <c r="I464" s="17"/>
      <c r="J464" s="17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>
      <c r="A465" s="14"/>
      <c r="B465" s="14"/>
      <c r="C465" s="16"/>
      <c r="D465" s="14"/>
      <c r="E465" s="14"/>
      <c r="F465" s="14"/>
      <c r="G465" s="14"/>
      <c r="H465" s="14"/>
      <c r="I465" s="17"/>
      <c r="J465" s="17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>
      <c r="A466" s="14"/>
      <c r="B466" s="14"/>
      <c r="C466" s="16"/>
      <c r="D466" s="14"/>
      <c r="E466" s="14"/>
      <c r="F466" s="14"/>
      <c r="G466" s="14"/>
      <c r="H466" s="14"/>
      <c r="I466" s="17"/>
      <c r="J466" s="17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>
      <c r="A467" s="14"/>
      <c r="B467" s="14"/>
      <c r="C467" s="16"/>
      <c r="D467" s="14"/>
      <c r="E467" s="14"/>
      <c r="F467" s="14"/>
      <c r="G467" s="14"/>
      <c r="H467" s="14"/>
      <c r="I467" s="17"/>
      <c r="J467" s="17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>
      <c r="A468" s="14"/>
      <c r="B468" s="14"/>
      <c r="C468" s="16"/>
      <c r="D468" s="14"/>
      <c r="E468" s="14"/>
      <c r="F468" s="14"/>
      <c r="G468" s="14"/>
      <c r="H468" s="14"/>
      <c r="I468" s="17"/>
      <c r="J468" s="17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>
      <c r="A469" s="14"/>
      <c r="B469" s="14"/>
      <c r="C469" s="16"/>
      <c r="D469" s="14"/>
      <c r="E469" s="14"/>
      <c r="F469" s="14"/>
      <c r="G469" s="14"/>
      <c r="H469" s="14"/>
      <c r="I469" s="17"/>
      <c r="J469" s="17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>
      <c r="A470" s="14"/>
      <c r="B470" s="14"/>
      <c r="C470" s="16"/>
      <c r="D470" s="14"/>
      <c r="E470" s="14"/>
      <c r="F470" s="14"/>
      <c r="G470" s="14"/>
      <c r="H470" s="14"/>
      <c r="I470" s="17"/>
      <c r="J470" s="17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>
      <c r="A471" s="14"/>
      <c r="B471" s="14"/>
      <c r="C471" s="16"/>
      <c r="D471" s="14"/>
      <c r="E471" s="14"/>
      <c r="F471" s="14"/>
      <c r="G471" s="14"/>
      <c r="H471" s="14"/>
      <c r="I471" s="17"/>
      <c r="J471" s="17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>
      <c r="A472" s="14"/>
      <c r="B472" s="14"/>
      <c r="C472" s="16"/>
      <c r="D472" s="14"/>
      <c r="E472" s="14"/>
      <c r="F472" s="14"/>
      <c r="G472" s="14"/>
      <c r="H472" s="14"/>
      <c r="I472" s="17"/>
      <c r="J472" s="17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>
      <c r="A473" s="14"/>
      <c r="B473" s="14"/>
      <c r="C473" s="16"/>
      <c r="D473" s="14"/>
      <c r="E473" s="14"/>
      <c r="F473" s="14"/>
      <c r="G473" s="14"/>
      <c r="H473" s="14"/>
      <c r="I473" s="17"/>
      <c r="J473" s="17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>
      <c r="A474" s="14"/>
      <c r="B474" s="14"/>
      <c r="C474" s="16"/>
      <c r="D474" s="14"/>
      <c r="E474" s="14"/>
      <c r="F474" s="14"/>
      <c r="G474" s="14"/>
      <c r="H474" s="14"/>
      <c r="I474" s="17"/>
      <c r="J474" s="17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>
      <c r="A475" s="14"/>
      <c r="B475" s="14"/>
      <c r="C475" s="16"/>
      <c r="D475" s="14"/>
      <c r="E475" s="14"/>
      <c r="F475" s="14"/>
      <c r="G475" s="14"/>
      <c r="H475" s="14"/>
      <c r="I475" s="17"/>
      <c r="J475" s="17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>
      <c r="A476" s="14"/>
      <c r="B476" s="14"/>
      <c r="C476" s="16"/>
      <c r="D476" s="14"/>
      <c r="E476" s="14"/>
      <c r="F476" s="14"/>
      <c r="G476" s="14"/>
      <c r="H476" s="14"/>
      <c r="I476" s="17"/>
      <c r="J476" s="17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>
      <c r="A477" s="14"/>
      <c r="B477" s="14"/>
      <c r="C477" s="16"/>
      <c r="D477" s="14"/>
      <c r="E477" s="14"/>
      <c r="F477" s="14"/>
      <c r="G477" s="14"/>
      <c r="H477" s="14"/>
      <c r="I477" s="17"/>
      <c r="J477" s="17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>
      <c r="A478" s="14"/>
      <c r="B478" s="14"/>
      <c r="C478" s="16"/>
      <c r="D478" s="14"/>
      <c r="E478" s="14"/>
      <c r="F478" s="14"/>
      <c r="G478" s="14"/>
      <c r="H478" s="14"/>
      <c r="I478" s="17"/>
      <c r="J478" s="17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>
      <c r="A479" s="14"/>
      <c r="B479" s="14"/>
      <c r="C479" s="16"/>
      <c r="D479" s="14"/>
      <c r="E479" s="14"/>
      <c r="F479" s="14"/>
      <c r="G479" s="14"/>
      <c r="H479" s="14"/>
      <c r="I479" s="17"/>
      <c r="J479" s="17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>
      <c r="A480" s="14"/>
      <c r="B480" s="14"/>
      <c r="C480" s="16"/>
      <c r="D480" s="14"/>
      <c r="E480" s="14"/>
      <c r="F480" s="14"/>
      <c r="G480" s="14"/>
      <c r="H480" s="14"/>
      <c r="I480" s="17"/>
      <c r="J480" s="17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>
      <c r="A481" s="14"/>
      <c r="B481" s="14"/>
      <c r="C481" s="16"/>
      <c r="D481" s="14"/>
      <c r="E481" s="14"/>
      <c r="F481" s="14"/>
      <c r="G481" s="14"/>
      <c r="H481" s="14"/>
      <c r="I481" s="17"/>
      <c r="J481" s="17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>
      <c r="A482" s="14"/>
      <c r="B482" s="14"/>
      <c r="C482" s="16"/>
      <c r="D482" s="14"/>
      <c r="E482" s="14"/>
      <c r="F482" s="14"/>
      <c r="G482" s="14"/>
      <c r="H482" s="14"/>
      <c r="I482" s="17"/>
      <c r="J482" s="17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>
      <c r="A483" s="14"/>
      <c r="B483" s="14"/>
      <c r="C483" s="16"/>
      <c r="D483" s="14"/>
      <c r="E483" s="14"/>
      <c r="F483" s="14"/>
      <c r="G483" s="14"/>
      <c r="H483" s="14"/>
      <c r="I483" s="17"/>
      <c r="J483" s="17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>
      <c r="A484" s="14"/>
      <c r="B484" s="14"/>
      <c r="C484" s="16"/>
      <c r="D484" s="14"/>
      <c r="E484" s="14"/>
      <c r="F484" s="14"/>
      <c r="G484" s="14"/>
      <c r="H484" s="14"/>
      <c r="I484" s="17"/>
      <c r="J484" s="17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>
      <c r="A485" s="14"/>
      <c r="B485" s="14"/>
      <c r="C485" s="16"/>
      <c r="D485" s="14"/>
      <c r="E485" s="14"/>
      <c r="F485" s="14"/>
      <c r="G485" s="14"/>
      <c r="H485" s="14"/>
      <c r="I485" s="17"/>
      <c r="J485" s="17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>
      <c r="A486" s="14"/>
      <c r="B486" s="14"/>
      <c r="C486" s="16"/>
      <c r="D486" s="14"/>
      <c r="E486" s="14"/>
      <c r="F486" s="14"/>
      <c r="G486" s="14"/>
      <c r="H486" s="14"/>
      <c r="I486" s="17"/>
      <c r="J486" s="17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>
      <c r="A487" s="14"/>
      <c r="B487" s="14"/>
      <c r="C487" s="16"/>
      <c r="D487" s="14"/>
      <c r="E487" s="14"/>
      <c r="F487" s="14"/>
      <c r="G487" s="14"/>
      <c r="H487" s="14"/>
      <c r="I487" s="17"/>
      <c r="J487" s="17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>
      <c r="A488" s="14"/>
      <c r="B488" s="14"/>
      <c r="C488" s="16"/>
      <c r="D488" s="14"/>
      <c r="E488" s="14"/>
      <c r="F488" s="14"/>
      <c r="G488" s="14"/>
      <c r="H488" s="14"/>
      <c r="I488" s="17"/>
      <c r="J488" s="17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>
      <c r="A489" s="14"/>
      <c r="B489" s="14"/>
      <c r="C489" s="16"/>
      <c r="D489" s="14"/>
      <c r="E489" s="14"/>
      <c r="F489" s="14"/>
      <c r="G489" s="14"/>
      <c r="H489" s="14"/>
      <c r="I489" s="17"/>
      <c r="J489" s="17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>
      <c r="A490" s="14"/>
      <c r="B490" s="14"/>
      <c r="C490" s="16"/>
      <c r="D490" s="14"/>
      <c r="E490" s="14"/>
      <c r="F490" s="14"/>
      <c r="G490" s="14"/>
      <c r="H490" s="14"/>
      <c r="I490" s="17"/>
      <c r="J490" s="17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>
      <c r="A491" s="14"/>
      <c r="B491" s="14"/>
      <c r="C491" s="16"/>
      <c r="D491" s="14"/>
      <c r="E491" s="14"/>
      <c r="F491" s="14"/>
      <c r="G491" s="14"/>
      <c r="H491" s="14"/>
      <c r="I491" s="17"/>
      <c r="J491" s="17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>
      <c r="A492" s="14"/>
      <c r="B492" s="14"/>
      <c r="C492" s="16"/>
      <c r="D492" s="14"/>
      <c r="E492" s="14"/>
      <c r="F492" s="14"/>
      <c r="G492" s="14"/>
      <c r="H492" s="14"/>
      <c r="I492" s="17"/>
      <c r="J492" s="17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>
      <c r="A493" s="14"/>
      <c r="B493" s="14"/>
      <c r="C493" s="16"/>
      <c r="D493" s="14"/>
      <c r="E493" s="14"/>
      <c r="F493" s="14"/>
      <c r="G493" s="14"/>
      <c r="H493" s="14"/>
      <c r="I493" s="17"/>
      <c r="J493" s="17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>
      <c r="A494" s="14"/>
      <c r="B494" s="14"/>
      <c r="C494" s="16"/>
      <c r="D494" s="14"/>
      <c r="E494" s="14"/>
      <c r="F494" s="14"/>
      <c r="G494" s="14"/>
      <c r="H494" s="14"/>
      <c r="I494" s="17"/>
      <c r="J494" s="17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>
      <c r="A495" s="14"/>
      <c r="B495" s="14"/>
      <c r="C495" s="16"/>
      <c r="D495" s="14"/>
      <c r="E495" s="14"/>
      <c r="F495" s="14"/>
      <c r="G495" s="14"/>
      <c r="H495" s="14"/>
      <c r="I495" s="17"/>
      <c r="J495" s="17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>
      <c r="A496" s="14"/>
      <c r="B496" s="14"/>
      <c r="C496" s="16"/>
      <c r="D496" s="14"/>
      <c r="E496" s="14"/>
      <c r="F496" s="14"/>
      <c r="G496" s="14"/>
      <c r="H496" s="14"/>
      <c r="I496" s="17"/>
      <c r="J496" s="17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>
      <c r="A497" s="14"/>
      <c r="B497" s="14"/>
      <c r="C497" s="16"/>
      <c r="D497" s="14"/>
      <c r="E497" s="14"/>
      <c r="F497" s="14"/>
      <c r="G497" s="14"/>
      <c r="H497" s="14"/>
      <c r="I497" s="17"/>
      <c r="J497" s="17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>
      <c r="A498" s="14"/>
      <c r="B498" s="14"/>
      <c r="C498" s="16"/>
      <c r="D498" s="14"/>
      <c r="E498" s="14"/>
      <c r="F498" s="14"/>
      <c r="G498" s="14"/>
      <c r="H498" s="14"/>
      <c r="I498" s="17"/>
      <c r="J498" s="17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>
      <c r="A499" s="14"/>
      <c r="B499" s="14"/>
      <c r="C499" s="16"/>
      <c r="D499" s="14"/>
      <c r="E499" s="14"/>
      <c r="F499" s="14"/>
      <c r="G499" s="14"/>
      <c r="H499" s="14"/>
      <c r="I499" s="17"/>
      <c r="J499" s="17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>
      <c r="A500" s="14"/>
      <c r="B500" s="14"/>
      <c r="C500" s="16"/>
      <c r="D500" s="14"/>
      <c r="E500" s="14"/>
      <c r="F500" s="14"/>
      <c r="G500" s="14"/>
      <c r="H500" s="14"/>
      <c r="I500" s="17"/>
      <c r="J500" s="17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>
      <c r="A501" s="14"/>
      <c r="B501" s="14"/>
      <c r="C501" s="16"/>
      <c r="D501" s="14"/>
      <c r="E501" s="14"/>
      <c r="F501" s="14"/>
      <c r="G501" s="14"/>
      <c r="H501" s="14"/>
      <c r="I501" s="17"/>
      <c r="J501" s="17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>
      <c r="A502" s="14"/>
      <c r="B502" s="14"/>
      <c r="C502" s="16"/>
      <c r="D502" s="14"/>
      <c r="E502" s="14"/>
      <c r="F502" s="14"/>
      <c r="G502" s="14"/>
      <c r="H502" s="14"/>
      <c r="I502" s="17"/>
      <c r="J502" s="17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>
      <c r="A503" s="14"/>
      <c r="B503" s="14"/>
      <c r="C503" s="16"/>
      <c r="D503" s="14"/>
      <c r="E503" s="14"/>
      <c r="F503" s="14"/>
      <c r="G503" s="14"/>
      <c r="H503" s="14"/>
      <c r="I503" s="17"/>
      <c r="J503" s="17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>
      <c r="A504" s="14"/>
      <c r="B504" s="14"/>
      <c r="C504" s="16"/>
      <c r="D504" s="14"/>
      <c r="E504" s="14"/>
      <c r="F504" s="14"/>
      <c r="G504" s="14"/>
      <c r="H504" s="14"/>
      <c r="I504" s="17"/>
      <c r="J504" s="17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>
      <c r="A505" s="14"/>
      <c r="B505" s="14"/>
      <c r="C505" s="16"/>
      <c r="D505" s="14"/>
      <c r="E505" s="14"/>
      <c r="F505" s="14"/>
      <c r="G505" s="14"/>
      <c r="H505" s="14"/>
      <c r="I505" s="17"/>
      <c r="J505" s="17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>
      <c r="A506" s="14"/>
      <c r="B506" s="14"/>
      <c r="C506" s="16"/>
      <c r="D506" s="14"/>
      <c r="E506" s="14"/>
      <c r="F506" s="14"/>
      <c r="G506" s="14"/>
      <c r="H506" s="14"/>
      <c r="I506" s="17"/>
      <c r="J506" s="17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>
      <c r="A507" s="14"/>
      <c r="B507" s="14"/>
      <c r="C507" s="16"/>
      <c r="D507" s="14"/>
      <c r="E507" s="14"/>
      <c r="F507" s="14"/>
      <c r="G507" s="14"/>
      <c r="H507" s="14"/>
      <c r="I507" s="17"/>
      <c r="J507" s="17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>
      <c r="A508" s="14"/>
      <c r="B508" s="14"/>
      <c r="C508" s="16"/>
      <c r="D508" s="14"/>
      <c r="E508" s="14"/>
      <c r="F508" s="14"/>
      <c r="G508" s="14"/>
      <c r="H508" s="14"/>
      <c r="I508" s="17"/>
      <c r="J508" s="17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>
      <c r="A509" s="14"/>
      <c r="B509" s="14"/>
      <c r="C509" s="16"/>
      <c r="D509" s="14"/>
      <c r="E509" s="14"/>
      <c r="F509" s="14"/>
      <c r="G509" s="14"/>
      <c r="H509" s="14"/>
      <c r="I509" s="17"/>
      <c r="J509" s="17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>
      <c r="A510" s="14"/>
      <c r="B510" s="14"/>
      <c r="C510" s="16"/>
      <c r="D510" s="14"/>
      <c r="E510" s="14"/>
      <c r="F510" s="14"/>
      <c r="G510" s="14"/>
      <c r="H510" s="14"/>
      <c r="I510" s="17"/>
      <c r="J510" s="17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>
      <c r="A511" s="14"/>
      <c r="B511" s="14"/>
      <c r="C511" s="16"/>
      <c r="D511" s="14"/>
      <c r="E511" s="14"/>
      <c r="F511" s="14"/>
      <c r="G511" s="14"/>
      <c r="H511" s="14"/>
      <c r="I511" s="17"/>
      <c r="J511" s="17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>
      <c r="A512" s="14"/>
      <c r="B512" s="14"/>
      <c r="C512" s="16"/>
      <c r="D512" s="14"/>
      <c r="E512" s="14"/>
      <c r="F512" s="14"/>
      <c r="G512" s="14"/>
      <c r="H512" s="14"/>
      <c r="I512" s="17"/>
      <c r="J512" s="17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>
      <c r="A513" s="14"/>
      <c r="B513" s="14"/>
      <c r="C513" s="16"/>
      <c r="D513" s="14"/>
      <c r="E513" s="14"/>
      <c r="F513" s="14"/>
      <c r="G513" s="14"/>
      <c r="H513" s="14"/>
      <c r="I513" s="17"/>
      <c r="J513" s="17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>
      <c r="A514" s="14"/>
      <c r="B514" s="14"/>
      <c r="C514" s="16"/>
      <c r="D514" s="14"/>
      <c r="E514" s="14"/>
      <c r="F514" s="14"/>
      <c r="G514" s="14"/>
      <c r="H514" s="14"/>
      <c r="I514" s="17"/>
      <c r="J514" s="17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>
      <c r="A515" s="14"/>
      <c r="B515" s="14"/>
      <c r="C515" s="16"/>
      <c r="D515" s="14"/>
      <c r="E515" s="14"/>
      <c r="F515" s="14"/>
      <c r="G515" s="14"/>
      <c r="H515" s="14"/>
      <c r="I515" s="17"/>
      <c r="J515" s="17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>
      <c r="A516" s="14"/>
      <c r="B516" s="14"/>
      <c r="C516" s="16"/>
      <c r="D516" s="14"/>
      <c r="E516" s="14"/>
      <c r="F516" s="14"/>
      <c r="G516" s="14"/>
      <c r="H516" s="14"/>
      <c r="I516" s="17"/>
      <c r="J516" s="17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>
      <c r="A517" s="14"/>
      <c r="B517" s="14"/>
      <c r="C517" s="16"/>
      <c r="D517" s="14"/>
      <c r="E517" s="14"/>
      <c r="F517" s="14"/>
      <c r="G517" s="14"/>
      <c r="H517" s="14"/>
      <c r="I517" s="17"/>
      <c r="J517" s="17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>
      <c r="A518" s="14"/>
      <c r="B518" s="14"/>
      <c r="C518" s="16"/>
      <c r="D518" s="14"/>
      <c r="E518" s="14"/>
      <c r="F518" s="14"/>
      <c r="G518" s="14"/>
      <c r="H518" s="14"/>
      <c r="I518" s="17"/>
      <c r="J518" s="17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>
      <c r="A519" s="14"/>
      <c r="B519" s="14"/>
      <c r="C519" s="16"/>
      <c r="D519" s="14"/>
      <c r="E519" s="14"/>
      <c r="F519" s="14"/>
      <c r="G519" s="14"/>
      <c r="H519" s="14"/>
      <c r="I519" s="17"/>
      <c r="J519" s="17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>
      <c r="A520" s="14"/>
      <c r="B520" s="14"/>
      <c r="C520" s="16"/>
      <c r="D520" s="14"/>
      <c r="E520" s="14"/>
      <c r="F520" s="14"/>
      <c r="G520" s="14"/>
      <c r="H520" s="14"/>
      <c r="I520" s="17"/>
      <c r="J520" s="17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>
      <c r="A521" s="14"/>
      <c r="B521" s="14"/>
      <c r="C521" s="16"/>
      <c r="D521" s="14"/>
      <c r="E521" s="14"/>
      <c r="F521" s="14"/>
      <c r="G521" s="14"/>
      <c r="H521" s="14"/>
      <c r="I521" s="17"/>
      <c r="J521" s="17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>
      <c r="A522" s="14"/>
      <c r="B522" s="14"/>
      <c r="C522" s="16"/>
      <c r="D522" s="14"/>
      <c r="E522" s="14"/>
      <c r="F522" s="14"/>
      <c r="G522" s="14"/>
      <c r="H522" s="14"/>
      <c r="I522" s="17"/>
      <c r="J522" s="17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>
      <c r="A523" s="14"/>
      <c r="B523" s="14"/>
      <c r="C523" s="16"/>
      <c r="D523" s="14"/>
      <c r="E523" s="14"/>
      <c r="F523" s="14"/>
      <c r="G523" s="14"/>
      <c r="H523" s="14"/>
      <c r="I523" s="17"/>
      <c r="J523" s="17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>
      <c r="A524" s="14"/>
      <c r="B524" s="14"/>
      <c r="C524" s="16"/>
      <c r="D524" s="14"/>
      <c r="E524" s="14"/>
      <c r="F524" s="14"/>
      <c r="G524" s="14"/>
      <c r="H524" s="14"/>
      <c r="I524" s="17"/>
      <c r="J524" s="17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>
      <c r="A525" s="14"/>
      <c r="B525" s="14"/>
      <c r="C525" s="16"/>
      <c r="D525" s="14"/>
      <c r="E525" s="14"/>
      <c r="F525" s="14"/>
      <c r="G525" s="14"/>
      <c r="H525" s="14"/>
      <c r="I525" s="17"/>
      <c r="J525" s="17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>
      <c r="A526" s="14"/>
      <c r="B526" s="14"/>
      <c r="C526" s="16"/>
      <c r="D526" s="14"/>
      <c r="E526" s="14"/>
      <c r="F526" s="14"/>
      <c r="G526" s="14"/>
      <c r="H526" s="14"/>
      <c r="I526" s="17"/>
      <c r="J526" s="17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>
      <c r="A527" s="14"/>
      <c r="B527" s="14"/>
      <c r="C527" s="16"/>
      <c r="D527" s="14"/>
      <c r="E527" s="14"/>
      <c r="F527" s="14"/>
      <c r="G527" s="14"/>
      <c r="H527" s="14"/>
      <c r="I527" s="17"/>
      <c r="J527" s="17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>
      <c r="A528" s="14"/>
      <c r="B528" s="14"/>
      <c r="C528" s="16"/>
      <c r="D528" s="14"/>
      <c r="E528" s="14"/>
      <c r="F528" s="14"/>
      <c r="G528" s="14"/>
      <c r="H528" s="14"/>
      <c r="I528" s="17"/>
      <c r="J528" s="17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>
      <c r="A529" s="14"/>
      <c r="B529" s="14"/>
      <c r="C529" s="16"/>
      <c r="D529" s="14"/>
      <c r="E529" s="14"/>
      <c r="F529" s="14"/>
      <c r="G529" s="14"/>
      <c r="H529" s="14"/>
      <c r="I529" s="17"/>
      <c r="J529" s="17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>
      <c r="A530" s="14"/>
      <c r="B530" s="14"/>
      <c r="C530" s="16"/>
      <c r="D530" s="14"/>
      <c r="E530" s="14"/>
      <c r="F530" s="14"/>
      <c r="G530" s="14"/>
      <c r="H530" s="14"/>
      <c r="I530" s="17"/>
      <c r="J530" s="17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>
      <c r="A531" s="14"/>
      <c r="B531" s="14"/>
      <c r="C531" s="16"/>
      <c r="D531" s="14"/>
      <c r="E531" s="14"/>
      <c r="F531" s="14"/>
      <c r="G531" s="14"/>
      <c r="H531" s="14"/>
      <c r="I531" s="17"/>
      <c r="J531" s="17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>
      <c r="A532" s="14"/>
      <c r="B532" s="14"/>
      <c r="C532" s="16"/>
      <c r="D532" s="14"/>
      <c r="E532" s="14"/>
      <c r="F532" s="14"/>
      <c r="G532" s="14"/>
      <c r="H532" s="14"/>
      <c r="I532" s="17"/>
      <c r="J532" s="17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>
      <c r="A533" s="14"/>
      <c r="B533" s="14"/>
      <c r="C533" s="16"/>
      <c r="D533" s="14"/>
      <c r="E533" s="14"/>
      <c r="F533" s="14"/>
      <c r="G533" s="14"/>
      <c r="H533" s="14"/>
      <c r="I533" s="17"/>
      <c r="J533" s="17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>
      <c r="A534" s="14"/>
      <c r="B534" s="14"/>
      <c r="C534" s="16"/>
      <c r="D534" s="14"/>
      <c r="E534" s="14"/>
      <c r="F534" s="14"/>
      <c r="G534" s="14"/>
      <c r="H534" s="14"/>
      <c r="I534" s="17"/>
      <c r="J534" s="17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>
      <c r="A535" s="14"/>
      <c r="B535" s="14"/>
      <c r="C535" s="16"/>
      <c r="D535" s="14"/>
      <c r="E535" s="14"/>
      <c r="F535" s="14"/>
      <c r="G535" s="14"/>
      <c r="H535" s="14"/>
      <c r="I535" s="17"/>
      <c r="J535" s="17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>
      <c r="A536" s="14"/>
      <c r="B536" s="14"/>
      <c r="C536" s="16"/>
      <c r="D536" s="14"/>
      <c r="E536" s="14"/>
      <c r="F536" s="14"/>
      <c r="G536" s="14"/>
      <c r="H536" s="14"/>
      <c r="I536" s="17"/>
      <c r="J536" s="17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>
      <c r="A537" s="14"/>
      <c r="B537" s="14"/>
      <c r="C537" s="16"/>
      <c r="D537" s="14"/>
      <c r="E537" s="14"/>
      <c r="F537" s="14"/>
      <c r="G537" s="14"/>
      <c r="H537" s="14"/>
      <c r="I537" s="17"/>
      <c r="J537" s="17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>
      <c r="A538" s="14"/>
      <c r="B538" s="14"/>
      <c r="C538" s="16"/>
      <c r="D538" s="14"/>
      <c r="E538" s="14"/>
      <c r="F538" s="14"/>
      <c r="G538" s="14"/>
      <c r="H538" s="14"/>
      <c r="I538" s="17"/>
      <c r="J538" s="17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>
      <c r="A539" s="14"/>
      <c r="B539" s="14"/>
      <c r="C539" s="16"/>
      <c r="D539" s="14"/>
      <c r="E539" s="14"/>
      <c r="F539" s="14"/>
      <c r="G539" s="14"/>
      <c r="H539" s="14"/>
      <c r="I539" s="17"/>
      <c r="J539" s="17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>
      <c r="A540" s="14"/>
      <c r="B540" s="14"/>
      <c r="C540" s="16"/>
      <c r="D540" s="14"/>
      <c r="E540" s="14"/>
      <c r="F540" s="14"/>
      <c r="G540" s="14"/>
      <c r="H540" s="14"/>
      <c r="I540" s="17"/>
      <c r="J540" s="17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>
      <c r="A541" s="14"/>
      <c r="B541" s="14"/>
      <c r="C541" s="16"/>
      <c r="D541" s="14"/>
      <c r="E541" s="14"/>
      <c r="F541" s="14"/>
      <c r="G541" s="14"/>
      <c r="H541" s="14"/>
      <c r="I541" s="17"/>
      <c r="J541" s="17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>
      <c r="A542" s="14"/>
      <c r="B542" s="14"/>
      <c r="C542" s="16"/>
      <c r="D542" s="14"/>
      <c r="E542" s="14"/>
      <c r="F542" s="14"/>
      <c r="G542" s="14"/>
      <c r="H542" s="14"/>
      <c r="I542" s="17"/>
      <c r="J542" s="17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>
      <c r="A543" s="14"/>
      <c r="B543" s="14"/>
      <c r="C543" s="16"/>
      <c r="D543" s="14"/>
      <c r="E543" s="14"/>
      <c r="F543" s="14"/>
      <c r="G543" s="14"/>
      <c r="H543" s="14"/>
      <c r="I543" s="17"/>
      <c r="J543" s="17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>
      <c r="A544" s="14"/>
      <c r="B544" s="14"/>
      <c r="C544" s="16"/>
      <c r="D544" s="14"/>
      <c r="E544" s="14"/>
      <c r="F544" s="14"/>
      <c r="G544" s="14"/>
      <c r="H544" s="14"/>
      <c r="I544" s="17"/>
      <c r="J544" s="17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>
      <c r="A545" s="14"/>
      <c r="B545" s="14"/>
      <c r="C545" s="16"/>
      <c r="D545" s="14"/>
      <c r="E545" s="14"/>
      <c r="F545" s="14"/>
      <c r="G545" s="14"/>
      <c r="H545" s="14"/>
      <c r="I545" s="17"/>
      <c r="J545" s="17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>
      <c r="A546" s="14"/>
      <c r="B546" s="14"/>
      <c r="C546" s="16"/>
      <c r="D546" s="14"/>
      <c r="E546" s="14"/>
      <c r="F546" s="14"/>
      <c r="G546" s="14"/>
      <c r="H546" s="14"/>
      <c r="I546" s="17"/>
      <c r="J546" s="17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>
      <c r="A547" s="14"/>
      <c r="B547" s="14"/>
      <c r="C547" s="16"/>
      <c r="D547" s="14"/>
      <c r="E547" s="14"/>
      <c r="F547" s="14"/>
      <c r="G547" s="14"/>
      <c r="H547" s="14"/>
      <c r="I547" s="17"/>
      <c r="J547" s="17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>
      <c r="A548" s="14"/>
      <c r="B548" s="14"/>
      <c r="C548" s="16"/>
      <c r="D548" s="14"/>
      <c r="E548" s="14"/>
      <c r="F548" s="14"/>
      <c r="G548" s="14"/>
      <c r="H548" s="14"/>
      <c r="I548" s="17"/>
      <c r="J548" s="17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>
      <c r="A549" s="14"/>
      <c r="B549" s="14"/>
      <c r="C549" s="16"/>
      <c r="D549" s="14"/>
      <c r="E549" s="14"/>
      <c r="F549" s="14"/>
      <c r="G549" s="14"/>
      <c r="H549" s="14"/>
      <c r="I549" s="17"/>
      <c r="J549" s="17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>
      <c r="A550" s="14"/>
      <c r="B550" s="14"/>
      <c r="C550" s="16"/>
      <c r="D550" s="14"/>
      <c r="E550" s="14"/>
      <c r="F550" s="14"/>
      <c r="G550" s="14"/>
      <c r="H550" s="14"/>
      <c r="I550" s="17"/>
      <c r="J550" s="17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>
      <c r="A551" s="14"/>
      <c r="B551" s="14"/>
      <c r="C551" s="16"/>
      <c r="D551" s="14"/>
      <c r="E551" s="14"/>
      <c r="F551" s="14"/>
      <c r="G551" s="14"/>
      <c r="H551" s="14"/>
      <c r="I551" s="17"/>
      <c r="J551" s="17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>
      <c r="A552" s="14"/>
      <c r="B552" s="14"/>
      <c r="C552" s="16"/>
      <c r="D552" s="14"/>
      <c r="E552" s="14"/>
      <c r="F552" s="14"/>
      <c r="G552" s="14"/>
      <c r="H552" s="14"/>
      <c r="I552" s="17"/>
      <c r="J552" s="17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>
      <c r="A553" s="14"/>
      <c r="B553" s="14"/>
      <c r="C553" s="16"/>
      <c r="D553" s="14"/>
      <c r="E553" s="14"/>
      <c r="F553" s="14"/>
      <c r="G553" s="14"/>
      <c r="H553" s="14"/>
      <c r="I553" s="17"/>
      <c r="J553" s="17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>
      <c r="A554" s="14"/>
      <c r="B554" s="14"/>
      <c r="C554" s="16"/>
      <c r="D554" s="14"/>
      <c r="E554" s="14"/>
      <c r="F554" s="14"/>
      <c r="G554" s="14"/>
      <c r="H554" s="14"/>
      <c r="I554" s="17"/>
      <c r="J554" s="17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>
      <c r="A555" s="14"/>
      <c r="B555" s="14"/>
      <c r="C555" s="16"/>
      <c r="D555" s="14"/>
      <c r="E555" s="14"/>
      <c r="F555" s="14"/>
      <c r="G555" s="14"/>
      <c r="H555" s="14"/>
      <c r="I555" s="17"/>
      <c r="J555" s="17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>
      <c r="A556" s="14"/>
      <c r="B556" s="14"/>
      <c r="C556" s="16"/>
      <c r="D556" s="14"/>
      <c r="E556" s="14"/>
      <c r="F556" s="14"/>
      <c r="G556" s="14"/>
      <c r="H556" s="14"/>
      <c r="I556" s="17"/>
      <c r="J556" s="17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>
      <c r="A557" s="14"/>
      <c r="B557" s="14"/>
      <c r="C557" s="16"/>
      <c r="D557" s="14"/>
      <c r="E557" s="14"/>
      <c r="F557" s="14"/>
      <c r="G557" s="14"/>
      <c r="H557" s="14"/>
      <c r="I557" s="17"/>
      <c r="J557" s="17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>
      <c r="A558" s="14"/>
      <c r="B558" s="14"/>
      <c r="C558" s="16"/>
      <c r="D558" s="14"/>
      <c r="E558" s="14"/>
      <c r="F558" s="14"/>
      <c r="G558" s="14"/>
      <c r="H558" s="14"/>
      <c r="I558" s="17"/>
      <c r="J558" s="17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>
      <c r="A559" s="14"/>
      <c r="B559" s="14"/>
      <c r="C559" s="16"/>
      <c r="D559" s="14"/>
      <c r="E559" s="14"/>
      <c r="F559" s="14"/>
      <c r="G559" s="14"/>
      <c r="H559" s="14"/>
      <c r="I559" s="17"/>
      <c r="J559" s="17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>
      <c r="A560" s="14"/>
      <c r="B560" s="14"/>
      <c r="C560" s="16"/>
      <c r="D560" s="14"/>
      <c r="E560" s="14"/>
      <c r="F560" s="14"/>
      <c r="G560" s="14"/>
      <c r="H560" s="14"/>
      <c r="I560" s="17"/>
      <c r="J560" s="17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>
      <c r="A561" s="14"/>
      <c r="B561" s="14"/>
      <c r="C561" s="16"/>
      <c r="D561" s="14"/>
      <c r="E561" s="14"/>
      <c r="F561" s="14"/>
      <c r="G561" s="14"/>
      <c r="H561" s="14"/>
      <c r="I561" s="17"/>
      <c r="J561" s="17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>
      <c r="A562" s="14"/>
      <c r="B562" s="14"/>
      <c r="C562" s="16"/>
      <c r="D562" s="14"/>
      <c r="E562" s="14"/>
      <c r="F562" s="14"/>
      <c r="G562" s="14"/>
      <c r="H562" s="14"/>
      <c r="I562" s="17"/>
      <c r="J562" s="17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>
      <c r="A563" s="14"/>
      <c r="B563" s="14"/>
      <c r="C563" s="16"/>
      <c r="D563" s="14"/>
      <c r="E563" s="14"/>
      <c r="F563" s="14"/>
      <c r="G563" s="14"/>
      <c r="H563" s="14"/>
      <c r="I563" s="17"/>
      <c r="J563" s="17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>
      <c r="A564" s="14"/>
      <c r="B564" s="14"/>
      <c r="C564" s="16"/>
      <c r="D564" s="14"/>
      <c r="E564" s="14"/>
      <c r="F564" s="14"/>
      <c r="G564" s="14"/>
      <c r="H564" s="14"/>
      <c r="I564" s="17"/>
      <c r="J564" s="17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>
      <c r="A565" s="14"/>
      <c r="B565" s="14"/>
      <c r="C565" s="16"/>
      <c r="D565" s="14"/>
      <c r="E565" s="14"/>
      <c r="F565" s="14"/>
      <c r="G565" s="14"/>
      <c r="H565" s="14"/>
      <c r="I565" s="17"/>
      <c r="J565" s="17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>
      <c r="A566" s="14"/>
      <c r="B566" s="14"/>
      <c r="C566" s="16"/>
      <c r="D566" s="14"/>
      <c r="E566" s="14"/>
      <c r="F566" s="14"/>
      <c r="G566" s="14"/>
      <c r="H566" s="14"/>
      <c r="I566" s="17"/>
      <c r="J566" s="17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>
      <c r="A567" s="14"/>
      <c r="B567" s="14"/>
      <c r="C567" s="16"/>
      <c r="D567" s="14"/>
      <c r="E567" s="14"/>
      <c r="F567" s="14"/>
      <c r="G567" s="14"/>
      <c r="H567" s="14"/>
      <c r="I567" s="17"/>
      <c r="J567" s="17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>
      <c r="A568" s="14"/>
      <c r="B568" s="14"/>
      <c r="C568" s="16"/>
      <c r="D568" s="14"/>
      <c r="E568" s="14"/>
      <c r="F568" s="14"/>
      <c r="G568" s="14"/>
      <c r="H568" s="14"/>
      <c r="I568" s="17"/>
      <c r="J568" s="17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>
      <c r="A569" s="14"/>
      <c r="B569" s="14"/>
      <c r="C569" s="16"/>
      <c r="D569" s="14"/>
      <c r="E569" s="14"/>
      <c r="F569" s="14"/>
      <c r="G569" s="14"/>
      <c r="H569" s="14"/>
      <c r="I569" s="17"/>
      <c r="J569" s="17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>
      <c r="A570" s="14"/>
      <c r="B570" s="14"/>
      <c r="C570" s="16"/>
      <c r="D570" s="14"/>
      <c r="E570" s="14"/>
      <c r="F570" s="14"/>
      <c r="G570" s="14"/>
      <c r="H570" s="14"/>
      <c r="I570" s="17"/>
      <c r="J570" s="17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>
      <c r="A571" s="14"/>
      <c r="B571" s="14"/>
      <c r="C571" s="16"/>
      <c r="D571" s="14"/>
      <c r="E571" s="14"/>
      <c r="F571" s="14"/>
      <c r="G571" s="14"/>
      <c r="H571" s="14"/>
      <c r="I571" s="17"/>
      <c r="J571" s="17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>
      <c r="A572" s="14"/>
      <c r="B572" s="14"/>
      <c r="C572" s="16"/>
      <c r="D572" s="14"/>
      <c r="E572" s="14"/>
      <c r="F572" s="14"/>
      <c r="G572" s="14"/>
      <c r="H572" s="14"/>
      <c r="I572" s="17"/>
      <c r="J572" s="17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>
      <c r="A573" s="14"/>
      <c r="B573" s="14"/>
      <c r="C573" s="16"/>
      <c r="D573" s="14"/>
      <c r="E573" s="14"/>
      <c r="F573" s="14"/>
      <c r="G573" s="14"/>
      <c r="H573" s="14"/>
      <c r="I573" s="17"/>
      <c r="J573" s="17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>
      <c r="A574" s="14"/>
      <c r="B574" s="14"/>
      <c r="C574" s="16"/>
      <c r="D574" s="14"/>
      <c r="E574" s="14"/>
      <c r="F574" s="14"/>
      <c r="G574" s="14"/>
      <c r="H574" s="14"/>
      <c r="I574" s="17"/>
      <c r="J574" s="17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>
      <c r="A575" s="14"/>
      <c r="B575" s="14"/>
      <c r="C575" s="16"/>
      <c r="D575" s="14"/>
      <c r="E575" s="14"/>
      <c r="F575" s="14"/>
      <c r="G575" s="14"/>
      <c r="H575" s="14"/>
      <c r="I575" s="17"/>
      <c r="J575" s="17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>
      <c r="A576" s="14"/>
      <c r="B576" s="14"/>
      <c r="C576" s="16"/>
      <c r="D576" s="14"/>
      <c r="E576" s="14"/>
      <c r="F576" s="14"/>
      <c r="G576" s="14"/>
      <c r="H576" s="14"/>
      <c r="I576" s="17"/>
      <c r="J576" s="17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>
      <c r="A577" s="14"/>
      <c r="B577" s="14"/>
      <c r="C577" s="16"/>
      <c r="D577" s="14"/>
      <c r="E577" s="14"/>
      <c r="F577" s="14"/>
      <c r="G577" s="14"/>
      <c r="H577" s="14"/>
      <c r="I577" s="17"/>
      <c r="J577" s="17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>
      <c r="A578" s="14"/>
      <c r="B578" s="14"/>
      <c r="C578" s="16"/>
      <c r="D578" s="14"/>
      <c r="E578" s="14"/>
      <c r="F578" s="14"/>
      <c r="G578" s="14"/>
      <c r="H578" s="14"/>
      <c r="I578" s="17"/>
      <c r="J578" s="17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>
      <c r="A579" s="14"/>
      <c r="B579" s="14"/>
      <c r="C579" s="16"/>
      <c r="D579" s="14"/>
      <c r="E579" s="14"/>
      <c r="F579" s="14"/>
      <c r="G579" s="14"/>
      <c r="H579" s="14"/>
      <c r="I579" s="17"/>
      <c r="J579" s="17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>
      <c r="A580" s="14"/>
      <c r="B580" s="14"/>
      <c r="C580" s="16"/>
      <c r="D580" s="14"/>
      <c r="E580" s="14"/>
      <c r="F580" s="14"/>
      <c r="G580" s="14"/>
      <c r="H580" s="14"/>
      <c r="I580" s="17"/>
      <c r="J580" s="17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>
      <c r="A581" s="14"/>
      <c r="B581" s="14"/>
      <c r="C581" s="16"/>
      <c r="D581" s="14"/>
      <c r="E581" s="14"/>
      <c r="F581" s="14"/>
      <c r="G581" s="14"/>
      <c r="H581" s="14"/>
      <c r="I581" s="17"/>
      <c r="J581" s="17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>
      <c r="A582" s="14"/>
      <c r="B582" s="14"/>
      <c r="C582" s="16"/>
      <c r="D582" s="14"/>
      <c r="E582" s="14"/>
      <c r="F582" s="14"/>
      <c r="G582" s="14"/>
      <c r="H582" s="14"/>
      <c r="I582" s="17"/>
      <c r="J582" s="17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>
      <c r="A583" s="14"/>
      <c r="B583" s="14"/>
      <c r="C583" s="16"/>
      <c r="D583" s="14"/>
      <c r="E583" s="14"/>
      <c r="F583" s="14"/>
      <c r="G583" s="14"/>
      <c r="H583" s="14"/>
      <c r="I583" s="17"/>
      <c r="J583" s="17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>
      <c r="A584" s="14"/>
      <c r="B584" s="14"/>
      <c r="C584" s="16"/>
      <c r="D584" s="14"/>
      <c r="E584" s="14"/>
      <c r="F584" s="14"/>
      <c r="G584" s="14"/>
      <c r="H584" s="14"/>
      <c r="I584" s="17"/>
      <c r="J584" s="17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>
      <c r="A585" s="14"/>
      <c r="B585" s="14"/>
      <c r="C585" s="16"/>
      <c r="D585" s="14"/>
      <c r="E585" s="14"/>
      <c r="F585" s="14"/>
      <c r="G585" s="14"/>
      <c r="H585" s="14"/>
      <c r="I585" s="17"/>
      <c r="J585" s="17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>
      <c r="A586" s="14"/>
      <c r="B586" s="14"/>
      <c r="C586" s="16"/>
      <c r="D586" s="14"/>
      <c r="E586" s="14"/>
      <c r="F586" s="14"/>
      <c r="G586" s="14"/>
      <c r="H586" s="14"/>
      <c r="I586" s="17"/>
      <c r="J586" s="17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>
      <c r="A587" s="14"/>
      <c r="B587" s="14"/>
      <c r="C587" s="16"/>
      <c r="D587" s="14"/>
      <c r="E587" s="14"/>
      <c r="F587" s="14"/>
      <c r="G587" s="14"/>
      <c r="H587" s="14"/>
      <c r="I587" s="17"/>
      <c r="J587" s="17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>
      <c r="A588" s="14"/>
      <c r="B588" s="14"/>
      <c r="C588" s="16"/>
      <c r="D588" s="14"/>
      <c r="E588" s="14"/>
      <c r="F588" s="14"/>
      <c r="G588" s="14"/>
      <c r="H588" s="14"/>
      <c r="I588" s="17"/>
      <c r="J588" s="17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>
      <c r="A589" s="14"/>
      <c r="B589" s="14"/>
      <c r="C589" s="16"/>
      <c r="D589" s="14"/>
      <c r="E589" s="14"/>
      <c r="F589" s="14"/>
      <c r="G589" s="14"/>
      <c r="H589" s="14"/>
      <c r="I589" s="17"/>
      <c r="J589" s="17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>
      <c r="A590" s="14"/>
      <c r="B590" s="14"/>
      <c r="C590" s="16"/>
      <c r="D590" s="14"/>
      <c r="E590" s="14"/>
      <c r="F590" s="14"/>
      <c r="G590" s="14"/>
      <c r="H590" s="14"/>
      <c r="I590" s="17"/>
      <c r="J590" s="17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>
      <c r="A591" s="14"/>
      <c r="B591" s="14"/>
      <c r="C591" s="16"/>
      <c r="D591" s="14"/>
      <c r="E591" s="14"/>
      <c r="F591" s="14"/>
      <c r="G591" s="14"/>
      <c r="H591" s="14"/>
      <c r="I591" s="17"/>
      <c r="J591" s="17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>
      <c r="A592" s="14"/>
      <c r="B592" s="14"/>
      <c r="C592" s="16"/>
      <c r="D592" s="14"/>
      <c r="E592" s="14"/>
      <c r="F592" s="14"/>
      <c r="G592" s="14"/>
      <c r="H592" s="14"/>
      <c r="I592" s="17"/>
      <c r="J592" s="17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>
      <c r="A593" s="14"/>
      <c r="B593" s="14"/>
      <c r="C593" s="16"/>
      <c r="D593" s="14"/>
      <c r="E593" s="14"/>
      <c r="F593" s="14"/>
      <c r="G593" s="14"/>
      <c r="H593" s="14"/>
      <c r="I593" s="17"/>
      <c r="J593" s="17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>
      <c r="A594" s="14"/>
      <c r="B594" s="14"/>
      <c r="C594" s="16"/>
      <c r="D594" s="14"/>
      <c r="E594" s="14"/>
      <c r="F594" s="14"/>
      <c r="G594" s="14"/>
      <c r="H594" s="14"/>
      <c r="I594" s="17"/>
      <c r="J594" s="17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>
      <c r="A595" s="14"/>
      <c r="B595" s="14"/>
      <c r="C595" s="16"/>
      <c r="D595" s="14"/>
      <c r="E595" s="14"/>
      <c r="F595" s="14"/>
      <c r="G595" s="14"/>
      <c r="H595" s="14"/>
      <c r="I595" s="17"/>
      <c r="J595" s="17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>
      <c r="A596" s="14"/>
      <c r="B596" s="14"/>
      <c r="C596" s="16"/>
      <c r="D596" s="14"/>
      <c r="E596" s="14"/>
      <c r="F596" s="14"/>
      <c r="G596" s="14"/>
      <c r="H596" s="14"/>
      <c r="I596" s="17"/>
      <c r="J596" s="17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>
      <c r="A597" s="14"/>
      <c r="B597" s="14"/>
      <c r="C597" s="16"/>
      <c r="D597" s="14"/>
      <c r="E597" s="14"/>
      <c r="F597" s="14"/>
      <c r="G597" s="14"/>
      <c r="H597" s="14"/>
      <c r="I597" s="17"/>
      <c r="J597" s="17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>
      <c r="A598" s="14"/>
      <c r="B598" s="14"/>
      <c r="C598" s="16"/>
      <c r="D598" s="14"/>
      <c r="E598" s="14"/>
      <c r="F598" s="14"/>
      <c r="G598" s="14"/>
      <c r="H598" s="14"/>
      <c r="I598" s="17"/>
      <c r="J598" s="17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>
      <c r="A599" s="14"/>
      <c r="B599" s="14"/>
      <c r="C599" s="16"/>
      <c r="D599" s="14"/>
      <c r="E599" s="14"/>
      <c r="F599" s="14"/>
      <c r="G599" s="14"/>
      <c r="H599" s="14"/>
      <c r="I599" s="17"/>
      <c r="J599" s="17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>
      <c r="A600" s="14"/>
      <c r="B600" s="14"/>
      <c r="C600" s="16"/>
      <c r="D600" s="14"/>
      <c r="E600" s="14"/>
      <c r="F600" s="14"/>
      <c r="G600" s="14"/>
      <c r="H600" s="14"/>
      <c r="I600" s="17"/>
      <c r="J600" s="17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>
      <c r="A601" s="14"/>
      <c r="B601" s="14"/>
      <c r="C601" s="16"/>
      <c r="D601" s="14"/>
      <c r="E601" s="14"/>
      <c r="F601" s="14"/>
      <c r="G601" s="14"/>
      <c r="H601" s="14"/>
      <c r="I601" s="17"/>
      <c r="J601" s="17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>
      <c r="A602" s="14"/>
      <c r="B602" s="14"/>
      <c r="C602" s="16"/>
      <c r="D602" s="14"/>
      <c r="E602" s="14"/>
      <c r="F602" s="14"/>
      <c r="G602" s="14"/>
      <c r="H602" s="14"/>
      <c r="I602" s="17"/>
      <c r="J602" s="17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>
      <c r="A603" s="14"/>
      <c r="B603" s="14"/>
      <c r="C603" s="16"/>
      <c r="D603" s="14"/>
      <c r="E603" s="14"/>
      <c r="F603" s="14"/>
      <c r="G603" s="14"/>
      <c r="H603" s="14"/>
      <c r="I603" s="17"/>
      <c r="J603" s="17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>
      <c r="A604" s="14"/>
      <c r="B604" s="14"/>
      <c r="C604" s="16"/>
      <c r="D604" s="14"/>
      <c r="E604" s="14"/>
      <c r="F604" s="14"/>
      <c r="G604" s="14"/>
      <c r="H604" s="14"/>
      <c r="I604" s="17"/>
      <c r="J604" s="17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>
      <c r="A605" s="14"/>
      <c r="B605" s="14"/>
      <c r="C605" s="16"/>
      <c r="D605" s="14"/>
      <c r="E605" s="14"/>
      <c r="F605" s="14"/>
      <c r="G605" s="14"/>
      <c r="H605" s="14"/>
      <c r="I605" s="17"/>
      <c r="J605" s="17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>
      <c r="A606" s="14"/>
      <c r="B606" s="14"/>
      <c r="C606" s="16"/>
      <c r="D606" s="14"/>
      <c r="E606" s="14"/>
      <c r="F606" s="14"/>
      <c r="G606" s="14"/>
      <c r="H606" s="14"/>
      <c r="I606" s="17"/>
      <c r="J606" s="17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>
      <c r="A607" s="14"/>
      <c r="B607" s="14"/>
      <c r="C607" s="16"/>
      <c r="D607" s="14"/>
      <c r="E607" s="14"/>
      <c r="F607" s="14"/>
      <c r="G607" s="14"/>
      <c r="H607" s="14"/>
      <c r="I607" s="17"/>
      <c r="J607" s="17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>
      <c r="A608" s="14"/>
      <c r="B608" s="14"/>
      <c r="C608" s="16"/>
      <c r="D608" s="14"/>
      <c r="E608" s="14"/>
      <c r="F608" s="14"/>
      <c r="G608" s="14"/>
      <c r="H608" s="14"/>
      <c r="I608" s="17"/>
      <c r="J608" s="17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>
      <c r="A609" s="14"/>
      <c r="B609" s="14"/>
      <c r="C609" s="16"/>
      <c r="D609" s="14"/>
      <c r="E609" s="14"/>
      <c r="F609" s="14"/>
      <c r="G609" s="14"/>
      <c r="H609" s="14"/>
      <c r="I609" s="17"/>
      <c r="J609" s="17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>
      <c r="A610" s="14"/>
      <c r="B610" s="14"/>
      <c r="C610" s="16"/>
      <c r="D610" s="14"/>
      <c r="E610" s="14"/>
      <c r="F610" s="14"/>
      <c r="G610" s="14"/>
      <c r="H610" s="14"/>
      <c r="I610" s="17"/>
      <c r="J610" s="17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>
      <c r="A611" s="14"/>
      <c r="B611" s="14"/>
      <c r="C611" s="16"/>
      <c r="D611" s="14"/>
      <c r="E611" s="14"/>
      <c r="F611" s="14"/>
      <c r="G611" s="14"/>
      <c r="H611" s="14"/>
      <c r="I611" s="17"/>
      <c r="J611" s="17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>
      <c r="A612" s="14"/>
      <c r="B612" s="14"/>
      <c r="C612" s="16"/>
      <c r="D612" s="14"/>
      <c r="E612" s="14"/>
      <c r="F612" s="14"/>
      <c r="G612" s="14"/>
      <c r="H612" s="14"/>
      <c r="I612" s="17"/>
      <c r="J612" s="17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>
      <c r="A613" s="14"/>
      <c r="B613" s="14"/>
      <c r="C613" s="16"/>
      <c r="D613" s="14"/>
      <c r="E613" s="14"/>
      <c r="F613" s="14"/>
      <c r="G613" s="14"/>
      <c r="H613" s="14"/>
      <c r="I613" s="17"/>
      <c r="J613" s="17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>
      <c r="A614" s="14"/>
      <c r="B614" s="14"/>
      <c r="C614" s="16"/>
      <c r="D614" s="14"/>
      <c r="E614" s="14"/>
      <c r="F614" s="14"/>
      <c r="G614" s="14"/>
      <c r="H614" s="14"/>
      <c r="I614" s="17"/>
      <c r="J614" s="17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>
      <c r="A615" s="14"/>
      <c r="B615" s="14"/>
      <c r="C615" s="16"/>
      <c r="D615" s="14"/>
      <c r="E615" s="14"/>
      <c r="F615" s="14"/>
      <c r="G615" s="14"/>
      <c r="H615" s="14"/>
      <c r="I615" s="17"/>
      <c r="J615" s="17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>
      <c r="A616" s="14"/>
      <c r="B616" s="14"/>
      <c r="C616" s="16"/>
      <c r="D616" s="14"/>
      <c r="E616" s="14"/>
      <c r="F616" s="14"/>
      <c r="G616" s="14"/>
      <c r="H616" s="14"/>
      <c r="I616" s="17"/>
      <c r="J616" s="17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>
      <c r="A617" s="14"/>
      <c r="B617" s="14"/>
      <c r="C617" s="16"/>
      <c r="D617" s="14"/>
      <c r="E617" s="14"/>
      <c r="F617" s="14"/>
      <c r="G617" s="14"/>
      <c r="H617" s="14"/>
      <c r="I617" s="17"/>
      <c r="J617" s="17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>
      <c r="A618" s="14"/>
      <c r="B618" s="14"/>
      <c r="C618" s="16"/>
      <c r="D618" s="14"/>
      <c r="E618" s="14"/>
      <c r="F618" s="14"/>
      <c r="G618" s="14"/>
      <c r="H618" s="14"/>
      <c r="I618" s="17"/>
      <c r="J618" s="17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>
      <c r="A619" s="14"/>
      <c r="B619" s="14"/>
      <c r="C619" s="16"/>
      <c r="D619" s="14"/>
      <c r="E619" s="14"/>
      <c r="F619" s="14"/>
      <c r="G619" s="14"/>
      <c r="H619" s="14"/>
      <c r="I619" s="17"/>
      <c r="J619" s="17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>
      <c r="A620" s="14"/>
      <c r="B620" s="14"/>
      <c r="C620" s="16"/>
      <c r="D620" s="14"/>
      <c r="E620" s="14"/>
      <c r="F620" s="14"/>
      <c r="G620" s="14"/>
      <c r="H620" s="14"/>
      <c r="I620" s="17"/>
      <c r="J620" s="17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>
      <c r="A621" s="14"/>
      <c r="B621" s="14"/>
      <c r="C621" s="16"/>
      <c r="D621" s="14"/>
      <c r="E621" s="14"/>
      <c r="F621" s="14"/>
      <c r="G621" s="14"/>
      <c r="H621" s="14"/>
      <c r="I621" s="17"/>
      <c r="J621" s="17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>
      <c r="A622" s="14"/>
      <c r="B622" s="14"/>
      <c r="C622" s="16"/>
      <c r="D622" s="14"/>
      <c r="E622" s="14"/>
      <c r="F622" s="14"/>
      <c r="G622" s="14"/>
      <c r="H622" s="14"/>
      <c r="I622" s="17"/>
      <c r="J622" s="17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>
      <c r="A623" s="14"/>
      <c r="B623" s="14"/>
      <c r="C623" s="16"/>
      <c r="D623" s="14"/>
      <c r="E623" s="14"/>
      <c r="F623" s="14"/>
      <c r="G623" s="14"/>
      <c r="H623" s="14"/>
      <c r="I623" s="17"/>
      <c r="J623" s="17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>
      <c r="A624" s="14"/>
      <c r="B624" s="14"/>
      <c r="C624" s="16"/>
      <c r="D624" s="14"/>
      <c r="E624" s="14"/>
      <c r="F624" s="14"/>
      <c r="G624" s="14"/>
      <c r="H624" s="14"/>
      <c r="I624" s="17"/>
      <c r="J624" s="17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>
      <c r="A625" s="14"/>
      <c r="B625" s="14"/>
      <c r="C625" s="16"/>
      <c r="D625" s="14"/>
      <c r="E625" s="14"/>
      <c r="F625" s="14"/>
      <c r="G625" s="14"/>
      <c r="H625" s="14"/>
      <c r="I625" s="17"/>
      <c r="J625" s="17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>
      <c r="A626" s="14"/>
      <c r="B626" s="14"/>
      <c r="C626" s="16"/>
      <c r="D626" s="14"/>
      <c r="E626" s="14"/>
      <c r="F626" s="14"/>
      <c r="G626" s="14"/>
      <c r="H626" s="14"/>
      <c r="I626" s="17"/>
      <c r="J626" s="17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>
      <c r="A627" s="14"/>
      <c r="B627" s="14"/>
      <c r="C627" s="16"/>
      <c r="D627" s="14"/>
      <c r="E627" s="14"/>
      <c r="F627" s="14"/>
      <c r="G627" s="14"/>
      <c r="H627" s="14"/>
      <c r="I627" s="17"/>
      <c r="J627" s="17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>
      <c r="A628" s="14"/>
      <c r="B628" s="14"/>
      <c r="C628" s="16"/>
      <c r="D628" s="14"/>
      <c r="E628" s="14"/>
      <c r="F628" s="14"/>
      <c r="G628" s="14"/>
      <c r="H628" s="14"/>
      <c r="I628" s="17"/>
      <c r="J628" s="17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>
      <c r="A629" s="14"/>
      <c r="B629" s="14"/>
      <c r="C629" s="16"/>
      <c r="D629" s="14"/>
      <c r="E629" s="14"/>
      <c r="F629" s="14"/>
      <c r="G629" s="14"/>
      <c r="H629" s="14"/>
      <c r="I629" s="17"/>
      <c r="J629" s="17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>
      <c r="A630" s="14"/>
      <c r="B630" s="14"/>
      <c r="C630" s="16"/>
      <c r="D630" s="14"/>
      <c r="E630" s="14"/>
      <c r="F630" s="14"/>
      <c r="G630" s="14"/>
      <c r="H630" s="14"/>
      <c r="I630" s="17"/>
      <c r="J630" s="17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>
      <c r="A631" s="14"/>
      <c r="B631" s="14"/>
      <c r="C631" s="16"/>
      <c r="D631" s="14"/>
      <c r="E631" s="14"/>
      <c r="F631" s="14"/>
      <c r="G631" s="14"/>
      <c r="H631" s="14"/>
      <c r="I631" s="17"/>
      <c r="J631" s="17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>
      <c r="A632" s="14"/>
      <c r="B632" s="14"/>
      <c r="C632" s="16"/>
      <c r="D632" s="14"/>
      <c r="E632" s="14"/>
      <c r="F632" s="14"/>
      <c r="G632" s="14"/>
      <c r="H632" s="14"/>
      <c r="I632" s="17"/>
      <c r="J632" s="17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>
      <c r="A633" s="14"/>
      <c r="B633" s="14"/>
      <c r="C633" s="16"/>
      <c r="D633" s="14"/>
      <c r="E633" s="14"/>
      <c r="F633" s="14"/>
      <c r="G633" s="14"/>
      <c r="H633" s="14"/>
      <c r="I633" s="17"/>
      <c r="J633" s="17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>
      <c r="A634" s="14"/>
      <c r="B634" s="14"/>
      <c r="C634" s="16"/>
      <c r="D634" s="14"/>
      <c r="E634" s="14"/>
      <c r="F634" s="14"/>
      <c r="G634" s="14"/>
      <c r="H634" s="14"/>
      <c r="I634" s="17"/>
      <c r="J634" s="17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>
      <c r="A635" s="14"/>
      <c r="B635" s="14"/>
      <c r="C635" s="16"/>
      <c r="D635" s="14"/>
      <c r="E635" s="14"/>
      <c r="F635" s="14"/>
      <c r="G635" s="14"/>
      <c r="H635" s="14"/>
      <c r="I635" s="17"/>
      <c r="J635" s="17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>
      <c r="A636" s="14"/>
      <c r="B636" s="14"/>
      <c r="C636" s="16"/>
      <c r="D636" s="14"/>
      <c r="E636" s="14"/>
      <c r="F636" s="14"/>
      <c r="G636" s="14"/>
      <c r="H636" s="14"/>
      <c r="I636" s="17"/>
      <c r="J636" s="17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>
      <c r="A637" s="14"/>
      <c r="B637" s="14"/>
      <c r="C637" s="16"/>
      <c r="D637" s="14"/>
      <c r="E637" s="14"/>
      <c r="F637" s="14"/>
      <c r="G637" s="14"/>
      <c r="H637" s="14"/>
      <c r="I637" s="17"/>
      <c r="J637" s="17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>
      <c r="A638" s="14"/>
      <c r="B638" s="14"/>
      <c r="C638" s="16"/>
      <c r="D638" s="14"/>
      <c r="E638" s="14"/>
      <c r="F638" s="14"/>
      <c r="G638" s="14"/>
      <c r="H638" s="14"/>
      <c r="I638" s="17"/>
      <c r="J638" s="17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>
      <c r="A639" s="14"/>
      <c r="B639" s="14"/>
      <c r="C639" s="16"/>
      <c r="D639" s="14"/>
      <c r="E639" s="14"/>
      <c r="F639" s="14"/>
      <c r="G639" s="14"/>
      <c r="H639" s="14"/>
      <c r="I639" s="17"/>
      <c r="J639" s="17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>
      <c r="A640" s="14"/>
      <c r="B640" s="14"/>
      <c r="C640" s="16"/>
      <c r="D640" s="14"/>
      <c r="E640" s="14"/>
      <c r="F640" s="14"/>
      <c r="G640" s="14"/>
      <c r="H640" s="14"/>
      <c r="I640" s="17"/>
      <c r="J640" s="17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>
      <c r="A641" s="14"/>
      <c r="B641" s="14"/>
      <c r="C641" s="16"/>
      <c r="D641" s="14"/>
      <c r="E641" s="14"/>
      <c r="F641" s="14"/>
      <c r="G641" s="14"/>
      <c r="H641" s="14"/>
      <c r="I641" s="17"/>
      <c r="J641" s="17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>
      <c r="A642" s="14"/>
      <c r="B642" s="14"/>
      <c r="C642" s="16"/>
      <c r="D642" s="14"/>
      <c r="E642" s="14"/>
      <c r="F642" s="14"/>
      <c r="G642" s="14"/>
      <c r="H642" s="14"/>
      <c r="I642" s="17"/>
      <c r="J642" s="17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>
      <c r="A643" s="14"/>
      <c r="B643" s="14"/>
      <c r="C643" s="16"/>
      <c r="D643" s="14"/>
      <c r="E643" s="14"/>
      <c r="F643" s="14"/>
      <c r="G643" s="14"/>
      <c r="H643" s="14"/>
      <c r="I643" s="17"/>
      <c r="J643" s="17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>
      <c r="A644" s="14"/>
      <c r="B644" s="14"/>
      <c r="C644" s="16"/>
      <c r="D644" s="14"/>
      <c r="E644" s="14"/>
      <c r="F644" s="14"/>
      <c r="G644" s="14"/>
      <c r="H644" s="14"/>
      <c r="I644" s="17"/>
      <c r="J644" s="17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>
      <c r="A645" s="14"/>
      <c r="B645" s="14"/>
      <c r="C645" s="16"/>
      <c r="D645" s="14"/>
      <c r="E645" s="14"/>
      <c r="F645" s="14"/>
      <c r="G645" s="14"/>
      <c r="H645" s="14"/>
      <c r="I645" s="17"/>
      <c r="J645" s="17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>
      <c r="A646" s="14"/>
      <c r="B646" s="14"/>
      <c r="C646" s="16"/>
      <c r="D646" s="14"/>
      <c r="E646" s="14"/>
      <c r="F646" s="14"/>
      <c r="G646" s="14"/>
      <c r="H646" s="14"/>
      <c r="I646" s="17"/>
      <c r="J646" s="17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>
      <c r="A647" s="14"/>
      <c r="B647" s="14"/>
      <c r="C647" s="16"/>
      <c r="D647" s="14"/>
      <c r="E647" s="14"/>
      <c r="F647" s="14"/>
      <c r="G647" s="14"/>
      <c r="H647" s="14"/>
      <c r="I647" s="17"/>
      <c r="J647" s="17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>
      <c r="A648" s="14"/>
      <c r="B648" s="14"/>
      <c r="C648" s="16"/>
      <c r="D648" s="14"/>
      <c r="E648" s="14"/>
      <c r="F648" s="14"/>
      <c r="G648" s="14"/>
      <c r="H648" s="14"/>
      <c r="I648" s="17"/>
      <c r="J648" s="17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>
      <c r="A649" s="14"/>
      <c r="B649" s="14"/>
      <c r="C649" s="16"/>
      <c r="D649" s="14"/>
      <c r="E649" s="14"/>
      <c r="F649" s="14"/>
      <c r="G649" s="14"/>
      <c r="H649" s="14"/>
      <c r="I649" s="17"/>
      <c r="J649" s="17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>
      <c r="A650" s="14"/>
      <c r="B650" s="14"/>
      <c r="C650" s="16"/>
      <c r="D650" s="14"/>
      <c r="E650" s="14"/>
      <c r="F650" s="14"/>
      <c r="G650" s="14"/>
      <c r="H650" s="14"/>
      <c r="I650" s="17"/>
      <c r="J650" s="17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>
      <c r="A651" s="14"/>
      <c r="B651" s="14"/>
      <c r="C651" s="16"/>
      <c r="D651" s="14"/>
      <c r="E651" s="14"/>
      <c r="F651" s="14"/>
      <c r="G651" s="14"/>
      <c r="H651" s="14"/>
      <c r="I651" s="17"/>
      <c r="J651" s="17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>
      <c r="A652" s="14"/>
      <c r="B652" s="14"/>
      <c r="C652" s="16"/>
      <c r="D652" s="14"/>
      <c r="E652" s="14"/>
      <c r="F652" s="14"/>
      <c r="G652" s="14"/>
      <c r="H652" s="14"/>
      <c r="I652" s="17"/>
      <c r="J652" s="17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>
      <c r="A653" s="14"/>
      <c r="B653" s="14"/>
      <c r="C653" s="16"/>
      <c r="D653" s="14"/>
      <c r="E653" s="14"/>
      <c r="F653" s="14"/>
      <c r="G653" s="14"/>
      <c r="H653" s="14"/>
      <c r="I653" s="17"/>
      <c r="J653" s="17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>
      <c r="A654" s="14"/>
      <c r="B654" s="14"/>
      <c r="C654" s="16"/>
      <c r="D654" s="14"/>
      <c r="E654" s="14"/>
      <c r="F654" s="14"/>
      <c r="G654" s="14"/>
      <c r="H654" s="14"/>
      <c r="I654" s="17"/>
      <c r="J654" s="17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>
      <c r="A655" s="14"/>
      <c r="B655" s="14"/>
      <c r="C655" s="16"/>
      <c r="D655" s="14"/>
      <c r="E655" s="14"/>
      <c r="F655" s="14"/>
      <c r="G655" s="14"/>
      <c r="H655" s="14"/>
      <c r="I655" s="17"/>
      <c r="J655" s="17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>
      <c r="A656" s="14"/>
      <c r="B656" s="14"/>
      <c r="C656" s="16"/>
      <c r="D656" s="14"/>
      <c r="E656" s="14"/>
      <c r="F656" s="14"/>
      <c r="G656" s="14"/>
      <c r="H656" s="14"/>
      <c r="I656" s="17"/>
      <c r="J656" s="17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>
      <c r="A657" s="14"/>
      <c r="B657" s="14"/>
      <c r="C657" s="16"/>
      <c r="D657" s="14"/>
      <c r="E657" s="14"/>
      <c r="F657" s="14"/>
      <c r="G657" s="14"/>
      <c r="H657" s="14"/>
      <c r="I657" s="17"/>
      <c r="J657" s="17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>
      <c r="A658" s="14"/>
      <c r="B658" s="14"/>
      <c r="C658" s="16"/>
      <c r="D658" s="14"/>
      <c r="E658" s="14"/>
      <c r="F658" s="14"/>
      <c r="G658" s="14"/>
      <c r="H658" s="14"/>
      <c r="I658" s="17"/>
      <c r="J658" s="17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>
      <c r="A659" s="14"/>
      <c r="B659" s="14"/>
      <c r="C659" s="16"/>
      <c r="D659" s="14"/>
      <c r="E659" s="14"/>
      <c r="F659" s="14"/>
      <c r="G659" s="14"/>
      <c r="H659" s="14"/>
      <c r="I659" s="17"/>
      <c r="J659" s="17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>
      <c r="A660" s="14"/>
      <c r="B660" s="14"/>
      <c r="C660" s="16"/>
      <c r="D660" s="14"/>
      <c r="E660" s="14"/>
      <c r="F660" s="14"/>
      <c r="G660" s="14"/>
      <c r="H660" s="14"/>
      <c r="I660" s="17"/>
      <c r="J660" s="17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>
      <c r="A661" s="14"/>
      <c r="B661" s="14"/>
      <c r="C661" s="16"/>
      <c r="D661" s="14"/>
      <c r="E661" s="14"/>
      <c r="F661" s="14"/>
      <c r="G661" s="14"/>
      <c r="H661" s="14"/>
      <c r="I661" s="17"/>
      <c r="J661" s="17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>
      <c r="A662" s="14"/>
      <c r="B662" s="14"/>
      <c r="C662" s="16"/>
      <c r="D662" s="14"/>
      <c r="E662" s="14"/>
      <c r="F662" s="14"/>
      <c r="G662" s="14"/>
      <c r="H662" s="14"/>
      <c r="I662" s="17"/>
      <c r="J662" s="17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>
      <c r="A663" s="14"/>
      <c r="B663" s="14"/>
      <c r="C663" s="16"/>
      <c r="D663" s="14"/>
      <c r="E663" s="14"/>
      <c r="F663" s="14"/>
      <c r="G663" s="14"/>
      <c r="H663" s="14"/>
      <c r="I663" s="17"/>
      <c r="J663" s="17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>
      <c r="A664" s="14"/>
      <c r="B664" s="14"/>
      <c r="C664" s="16"/>
      <c r="D664" s="14"/>
      <c r="E664" s="14"/>
      <c r="F664" s="14"/>
      <c r="G664" s="14"/>
      <c r="H664" s="14"/>
      <c r="I664" s="17"/>
      <c r="J664" s="17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>
      <c r="A665" s="14"/>
      <c r="B665" s="14"/>
      <c r="C665" s="16"/>
      <c r="D665" s="14"/>
      <c r="E665" s="14"/>
      <c r="F665" s="14"/>
      <c r="G665" s="14"/>
      <c r="H665" s="14"/>
      <c r="I665" s="17"/>
      <c r="J665" s="17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>
      <c r="A666" s="14"/>
      <c r="B666" s="14"/>
      <c r="C666" s="16"/>
      <c r="D666" s="14"/>
      <c r="E666" s="14"/>
      <c r="F666" s="14"/>
      <c r="G666" s="14"/>
      <c r="H666" s="14"/>
      <c r="I666" s="17"/>
      <c r="J666" s="17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>
      <c r="A667" s="14"/>
      <c r="B667" s="14"/>
      <c r="C667" s="16"/>
      <c r="D667" s="14"/>
      <c r="E667" s="14"/>
      <c r="F667" s="14"/>
      <c r="G667" s="14"/>
      <c r="H667" s="14"/>
      <c r="I667" s="17"/>
      <c r="J667" s="17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>
      <c r="A668" s="14"/>
      <c r="B668" s="14"/>
      <c r="C668" s="16"/>
      <c r="D668" s="14"/>
      <c r="E668" s="14"/>
      <c r="F668" s="14"/>
      <c r="G668" s="14"/>
      <c r="H668" s="14"/>
      <c r="I668" s="17"/>
      <c r="J668" s="17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>
      <c r="A669" s="14"/>
      <c r="B669" s="14"/>
      <c r="C669" s="16"/>
      <c r="D669" s="14"/>
      <c r="E669" s="14"/>
      <c r="F669" s="14"/>
      <c r="G669" s="14"/>
      <c r="H669" s="14"/>
      <c r="I669" s="17"/>
      <c r="J669" s="17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>
      <c r="A670" s="14"/>
      <c r="B670" s="14"/>
      <c r="C670" s="16"/>
      <c r="D670" s="14"/>
      <c r="E670" s="14"/>
      <c r="F670" s="14"/>
      <c r="G670" s="14"/>
      <c r="H670" s="14"/>
      <c r="I670" s="17"/>
      <c r="J670" s="17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>
      <c r="A671" s="14"/>
      <c r="B671" s="14"/>
      <c r="C671" s="16"/>
      <c r="D671" s="14"/>
      <c r="E671" s="14"/>
      <c r="F671" s="14"/>
      <c r="G671" s="14"/>
      <c r="H671" s="14"/>
      <c r="I671" s="17"/>
      <c r="J671" s="17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>
      <c r="A672" s="14"/>
      <c r="B672" s="14"/>
      <c r="C672" s="16"/>
      <c r="D672" s="14"/>
      <c r="E672" s="14"/>
      <c r="F672" s="14"/>
      <c r="G672" s="14"/>
      <c r="H672" s="14"/>
      <c r="I672" s="17"/>
      <c r="J672" s="17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>
      <c r="A673" s="14"/>
      <c r="B673" s="14"/>
      <c r="C673" s="16"/>
      <c r="D673" s="14"/>
      <c r="E673" s="14"/>
      <c r="F673" s="14"/>
      <c r="G673" s="14"/>
      <c r="H673" s="14"/>
      <c r="I673" s="17"/>
      <c r="J673" s="17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>
      <c r="A674" s="14"/>
      <c r="B674" s="14"/>
      <c r="C674" s="16"/>
      <c r="D674" s="14"/>
      <c r="E674" s="14"/>
      <c r="F674" s="14"/>
      <c r="G674" s="14"/>
      <c r="H674" s="14"/>
      <c r="I674" s="17"/>
      <c r="J674" s="17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>
      <c r="A675" s="14"/>
      <c r="B675" s="14"/>
      <c r="C675" s="16"/>
      <c r="D675" s="14"/>
      <c r="E675" s="14"/>
      <c r="F675" s="14"/>
      <c r="G675" s="14"/>
      <c r="H675" s="14"/>
      <c r="I675" s="17"/>
      <c r="J675" s="17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>
      <c r="A676" s="14"/>
      <c r="B676" s="14"/>
      <c r="C676" s="16"/>
      <c r="D676" s="14"/>
      <c r="E676" s="14"/>
      <c r="F676" s="14"/>
      <c r="G676" s="14"/>
      <c r="H676" s="14"/>
      <c r="I676" s="17"/>
      <c r="J676" s="17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>
      <c r="A677" s="14"/>
      <c r="B677" s="14"/>
      <c r="C677" s="16"/>
      <c r="D677" s="14"/>
      <c r="E677" s="14"/>
      <c r="F677" s="14"/>
      <c r="G677" s="14"/>
      <c r="H677" s="14"/>
      <c r="I677" s="17"/>
      <c r="J677" s="17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>
      <c r="A678" s="14"/>
      <c r="B678" s="14"/>
      <c r="C678" s="16"/>
      <c r="D678" s="14"/>
      <c r="E678" s="14"/>
      <c r="F678" s="14"/>
      <c r="G678" s="14"/>
      <c r="H678" s="14"/>
      <c r="I678" s="17"/>
      <c r="J678" s="17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>
      <c r="A679" s="14"/>
      <c r="B679" s="14"/>
      <c r="C679" s="16"/>
      <c r="D679" s="14"/>
      <c r="E679" s="14"/>
      <c r="F679" s="14"/>
      <c r="G679" s="14"/>
      <c r="H679" s="14"/>
      <c r="I679" s="17"/>
      <c r="J679" s="17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>
      <c r="A680" s="14"/>
      <c r="B680" s="14"/>
      <c r="C680" s="16"/>
      <c r="D680" s="14"/>
      <c r="E680" s="14"/>
      <c r="F680" s="14"/>
      <c r="G680" s="14"/>
      <c r="H680" s="14"/>
      <c r="I680" s="17"/>
      <c r="J680" s="17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>
      <c r="A681" s="14"/>
      <c r="B681" s="14"/>
      <c r="C681" s="16"/>
      <c r="D681" s="14"/>
      <c r="E681" s="14"/>
      <c r="F681" s="14"/>
      <c r="G681" s="14"/>
      <c r="H681" s="14"/>
      <c r="I681" s="17"/>
      <c r="J681" s="17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>
      <c r="A682" s="14"/>
      <c r="B682" s="14"/>
      <c r="C682" s="16"/>
      <c r="D682" s="14"/>
      <c r="E682" s="14"/>
      <c r="F682" s="14"/>
      <c r="G682" s="14"/>
      <c r="H682" s="14"/>
      <c r="I682" s="17"/>
      <c r="J682" s="17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>
      <c r="A683" s="14"/>
      <c r="B683" s="14"/>
      <c r="C683" s="16"/>
      <c r="D683" s="14"/>
      <c r="E683" s="14"/>
      <c r="F683" s="14"/>
      <c r="G683" s="14"/>
      <c r="H683" s="14"/>
      <c r="I683" s="17"/>
      <c r="J683" s="17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>
      <c r="A684" s="14"/>
      <c r="B684" s="14"/>
      <c r="C684" s="16"/>
      <c r="D684" s="14"/>
      <c r="E684" s="14"/>
      <c r="F684" s="14"/>
      <c r="G684" s="14"/>
      <c r="H684" s="14"/>
      <c r="I684" s="17"/>
      <c r="J684" s="17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>
      <c r="A685" s="14"/>
      <c r="B685" s="14"/>
      <c r="C685" s="16"/>
      <c r="D685" s="14"/>
      <c r="E685" s="14"/>
      <c r="F685" s="14"/>
      <c r="G685" s="14"/>
      <c r="H685" s="14"/>
      <c r="I685" s="17"/>
      <c r="J685" s="17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>
      <c r="A686" s="14"/>
      <c r="B686" s="14"/>
      <c r="C686" s="16"/>
      <c r="D686" s="14"/>
      <c r="E686" s="14"/>
      <c r="F686" s="14"/>
      <c r="G686" s="14"/>
      <c r="H686" s="14"/>
      <c r="I686" s="17"/>
      <c r="J686" s="17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>
      <c r="A687" s="14"/>
      <c r="B687" s="14"/>
      <c r="C687" s="16"/>
      <c r="D687" s="14"/>
      <c r="E687" s="14"/>
      <c r="F687" s="14"/>
      <c r="G687" s="14"/>
      <c r="H687" s="14"/>
      <c r="I687" s="17"/>
      <c r="J687" s="17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>
      <c r="A688" s="14"/>
      <c r="B688" s="14"/>
      <c r="C688" s="16"/>
      <c r="D688" s="14"/>
      <c r="E688" s="14"/>
      <c r="F688" s="14"/>
      <c r="G688" s="14"/>
      <c r="H688" s="14"/>
      <c r="I688" s="17"/>
      <c r="J688" s="17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>
      <c r="A689" s="14"/>
      <c r="B689" s="14"/>
      <c r="C689" s="16"/>
      <c r="D689" s="14"/>
      <c r="E689" s="14"/>
      <c r="F689" s="14"/>
      <c r="G689" s="14"/>
      <c r="H689" s="14"/>
      <c r="I689" s="17"/>
      <c r="J689" s="17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>
      <c r="A690" s="14"/>
      <c r="B690" s="14"/>
      <c r="C690" s="16"/>
      <c r="D690" s="14"/>
      <c r="E690" s="14"/>
      <c r="F690" s="14"/>
      <c r="G690" s="14"/>
      <c r="H690" s="14"/>
      <c r="I690" s="17"/>
      <c r="J690" s="17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>
      <c r="A691" s="14"/>
      <c r="B691" s="14"/>
      <c r="C691" s="16"/>
      <c r="D691" s="14"/>
      <c r="E691" s="14"/>
      <c r="F691" s="14"/>
      <c r="G691" s="14"/>
      <c r="H691" s="14"/>
      <c r="I691" s="17"/>
      <c r="J691" s="17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>
      <c r="A692" s="14"/>
      <c r="B692" s="14"/>
      <c r="C692" s="16"/>
      <c r="D692" s="14"/>
      <c r="E692" s="14"/>
      <c r="F692" s="14"/>
      <c r="G692" s="14"/>
      <c r="H692" s="14"/>
      <c r="I692" s="17"/>
      <c r="J692" s="17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>
      <c r="A693" s="14"/>
      <c r="B693" s="14"/>
      <c r="C693" s="16"/>
      <c r="D693" s="14"/>
      <c r="E693" s="14"/>
      <c r="F693" s="14"/>
      <c r="G693" s="14"/>
      <c r="H693" s="14"/>
      <c r="I693" s="17"/>
      <c r="J693" s="17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>
      <c r="A694" s="14"/>
      <c r="B694" s="14"/>
      <c r="C694" s="16"/>
      <c r="D694" s="14"/>
      <c r="E694" s="14"/>
      <c r="F694" s="14"/>
      <c r="G694" s="14"/>
      <c r="H694" s="14"/>
      <c r="I694" s="17"/>
      <c r="J694" s="17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>
      <c r="A695" s="14"/>
      <c r="B695" s="14"/>
      <c r="C695" s="16"/>
      <c r="D695" s="14"/>
      <c r="E695" s="14"/>
      <c r="F695" s="14"/>
      <c r="G695" s="14"/>
      <c r="H695" s="14"/>
      <c r="I695" s="17"/>
      <c r="J695" s="17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>
      <c r="A696" s="14"/>
      <c r="B696" s="14"/>
      <c r="C696" s="16"/>
      <c r="D696" s="14"/>
      <c r="E696" s="14"/>
      <c r="F696" s="14"/>
      <c r="G696" s="14"/>
      <c r="H696" s="14"/>
      <c r="I696" s="17"/>
      <c r="J696" s="17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>
      <c r="A697" s="14"/>
      <c r="B697" s="14"/>
      <c r="C697" s="16"/>
      <c r="D697" s="14"/>
      <c r="E697" s="14"/>
      <c r="F697" s="14"/>
      <c r="G697" s="14"/>
      <c r="H697" s="14"/>
      <c r="I697" s="17"/>
      <c r="J697" s="17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>
      <c r="A698" s="14"/>
      <c r="B698" s="14"/>
      <c r="C698" s="16"/>
      <c r="D698" s="14"/>
      <c r="E698" s="14"/>
      <c r="F698" s="14"/>
      <c r="G698" s="14"/>
      <c r="H698" s="14"/>
      <c r="I698" s="17"/>
      <c r="J698" s="17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>
      <c r="A699" s="14"/>
      <c r="B699" s="14"/>
      <c r="C699" s="16"/>
      <c r="D699" s="14"/>
      <c r="E699" s="14"/>
      <c r="F699" s="14"/>
      <c r="G699" s="14"/>
      <c r="H699" s="14"/>
      <c r="I699" s="17"/>
      <c r="J699" s="17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>
      <c r="A700" s="14"/>
      <c r="B700" s="14"/>
      <c r="C700" s="16"/>
      <c r="D700" s="14"/>
      <c r="E700" s="14"/>
      <c r="F700" s="14"/>
      <c r="G700" s="14"/>
      <c r="H700" s="14"/>
      <c r="I700" s="17"/>
      <c r="J700" s="17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>
      <c r="A701" s="14"/>
      <c r="B701" s="14"/>
      <c r="C701" s="16"/>
      <c r="D701" s="14"/>
      <c r="E701" s="14"/>
      <c r="F701" s="14"/>
      <c r="G701" s="14"/>
      <c r="H701" s="14"/>
      <c r="I701" s="17"/>
      <c r="J701" s="17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>
      <c r="A702" s="14"/>
      <c r="B702" s="14"/>
      <c r="C702" s="16"/>
      <c r="D702" s="14"/>
      <c r="E702" s="14"/>
      <c r="F702" s="14"/>
      <c r="G702" s="14"/>
      <c r="H702" s="14"/>
      <c r="I702" s="17"/>
      <c r="J702" s="17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>
      <c r="A703" s="14"/>
      <c r="B703" s="14"/>
      <c r="C703" s="16"/>
      <c r="D703" s="14"/>
      <c r="E703" s="14"/>
      <c r="F703" s="14"/>
      <c r="G703" s="14"/>
      <c r="H703" s="14"/>
      <c r="I703" s="17"/>
      <c r="J703" s="17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>
      <c r="A704" s="14"/>
      <c r="B704" s="14"/>
      <c r="C704" s="16"/>
      <c r="D704" s="14"/>
      <c r="E704" s="14"/>
      <c r="F704" s="14"/>
      <c r="G704" s="14"/>
      <c r="H704" s="14"/>
      <c r="I704" s="17"/>
      <c r="J704" s="17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>
      <c r="A705" s="14"/>
      <c r="B705" s="14"/>
      <c r="C705" s="16"/>
      <c r="D705" s="14"/>
      <c r="E705" s="14"/>
      <c r="F705" s="14"/>
      <c r="G705" s="14"/>
      <c r="H705" s="14"/>
      <c r="I705" s="17"/>
      <c r="J705" s="17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>
      <c r="A706" s="14"/>
      <c r="B706" s="14"/>
      <c r="C706" s="16"/>
      <c r="D706" s="14"/>
      <c r="E706" s="14"/>
      <c r="F706" s="14"/>
      <c r="G706" s="14"/>
      <c r="H706" s="14"/>
      <c r="I706" s="17"/>
      <c r="J706" s="17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>
      <c r="A707" s="14"/>
      <c r="B707" s="14"/>
      <c r="C707" s="16"/>
      <c r="D707" s="14"/>
      <c r="E707" s="14"/>
      <c r="F707" s="14"/>
      <c r="G707" s="14"/>
      <c r="H707" s="14"/>
      <c r="I707" s="17"/>
      <c r="J707" s="17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>
      <c r="A708" s="14"/>
      <c r="B708" s="14"/>
      <c r="C708" s="16"/>
      <c r="D708" s="14"/>
      <c r="E708" s="14"/>
      <c r="F708" s="14"/>
      <c r="G708" s="14"/>
      <c r="H708" s="14"/>
      <c r="I708" s="17"/>
      <c r="J708" s="17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>
      <c r="A709" s="14"/>
      <c r="B709" s="14"/>
      <c r="C709" s="16"/>
      <c r="D709" s="14"/>
      <c r="E709" s="14"/>
      <c r="F709" s="14"/>
      <c r="G709" s="14"/>
      <c r="H709" s="14"/>
      <c r="I709" s="17"/>
      <c r="J709" s="17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>
      <c r="A710" s="14"/>
      <c r="B710" s="14"/>
      <c r="C710" s="16"/>
      <c r="D710" s="14"/>
      <c r="E710" s="14"/>
      <c r="F710" s="14"/>
      <c r="G710" s="14"/>
      <c r="H710" s="14"/>
      <c r="I710" s="17"/>
      <c r="J710" s="17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>
      <c r="A711" s="14"/>
      <c r="B711" s="14"/>
      <c r="C711" s="16"/>
      <c r="D711" s="14"/>
      <c r="E711" s="14"/>
      <c r="F711" s="14"/>
      <c r="G711" s="14"/>
      <c r="H711" s="14"/>
      <c r="I711" s="17"/>
      <c r="J711" s="17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>
      <c r="A712" s="14"/>
      <c r="B712" s="14"/>
      <c r="C712" s="16"/>
      <c r="D712" s="14"/>
      <c r="E712" s="14"/>
      <c r="F712" s="14"/>
      <c r="G712" s="14"/>
      <c r="H712" s="14"/>
      <c r="I712" s="17"/>
      <c r="J712" s="17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>
      <c r="A713" s="14"/>
      <c r="B713" s="14"/>
      <c r="C713" s="16"/>
      <c r="D713" s="14"/>
      <c r="E713" s="14"/>
      <c r="F713" s="14"/>
      <c r="G713" s="14"/>
      <c r="H713" s="14"/>
      <c r="I713" s="17"/>
      <c r="J713" s="17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>
      <c r="A714" s="14"/>
      <c r="B714" s="14"/>
      <c r="C714" s="16"/>
      <c r="D714" s="14"/>
      <c r="E714" s="14"/>
      <c r="F714" s="14"/>
      <c r="G714" s="14"/>
      <c r="H714" s="14"/>
      <c r="I714" s="17"/>
      <c r="J714" s="17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>
      <c r="A715" s="14"/>
      <c r="B715" s="14"/>
      <c r="C715" s="16"/>
      <c r="D715" s="14"/>
      <c r="E715" s="14"/>
      <c r="F715" s="14"/>
      <c r="G715" s="14"/>
      <c r="H715" s="14"/>
      <c r="I715" s="17"/>
      <c r="J715" s="17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>
      <c r="A716" s="14"/>
      <c r="B716" s="14"/>
      <c r="C716" s="16"/>
      <c r="D716" s="14"/>
      <c r="E716" s="14"/>
      <c r="F716" s="14"/>
      <c r="G716" s="14"/>
      <c r="H716" s="14"/>
      <c r="I716" s="17"/>
      <c r="J716" s="17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>
      <c r="A717" s="14"/>
      <c r="B717" s="14"/>
      <c r="C717" s="16"/>
      <c r="D717" s="14"/>
      <c r="E717" s="14"/>
      <c r="F717" s="14"/>
      <c r="G717" s="14"/>
      <c r="H717" s="14"/>
      <c r="I717" s="17"/>
      <c r="J717" s="17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>
      <c r="A718" s="14"/>
      <c r="B718" s="14"/>
      <c r="C718" s="16"/>
      <c r="D718" s="14"/>
      <c r="E718" s="14"/>
      <c r="F718" s="14"/>
      <c r="G718" s="14"/>
      <c r="H718" s="14"/>
      <c r="I718" s="17"/>
      <c r="J718" s="17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>
      <c r="A719" s="14"/>
      <c r="B719" s="14"/>
      <c r="C719" s="16"/>
      <c r="D719" s="14"/>
      <c r="E719" s="14"/>
      <c r="F719" s="14"/>
      <c r="G719" s="14"/>
      <c r="H719" s="14"/>
      <c r="I719" s="17"/>
      <c r="J719" s="17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>
      <c r="A720" s="14"/>
      <c r="B720" s="14"/>
      <c r="C720" s="16"/>
      <c r="D720" s="14"/>
      <c r="E720" s="14"/>
      <c r="F720" s="14"/>
      <c r="G720" s="14"/>
      <c r="H720" s="14"/>
      <c r="I720" s="17"/>
      <c r="J720" s="17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>
      <c r="A721" s="14"/>
      <c r="B721" s="14"/>
      <c r="C721" s="16"/>
      <c r="D721" s="14"/>
      <c r="E721" s="14"/>
      <c r="F721" s="14"/>
      <c r="G721" s="14"/>
      <c r="H721" s="14"/>
      <c r="I721" s="17"/>
      <c r="J721" s="17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>
      <c r="A722" s="14"/>
      <c r="B722" s="14"/>
      <c r="C722" s="16"/>
      <c r="D722" s="14"/>
      <c r="E722" s="14"/>
      <c r="F722" s="14"/>
      <c r="G722" s="14"/>
      <c r="H722" s="14"/>
      <c r="I722" s="17"/>
      <c r="J722" s="17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>
      <c r="A723" s="14"/>
      <c r="B723" s="14"/>
      <c r="C723" s="16"/>
      <c r="D723" s="14"/>
      <c r="E723" s="14"/>
      <c r="F723" s="14"/>
      <c r="G723" s="14"/>
      <c r="H723" s="14"/>
      <c r="I723" s="17"/>
      <c r="J723" s="17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>
      <c r="A724" s="14"/>
      <c r="B724" s="14"/>
      <c r="C724" s="16"/>
      <c r="D724" s="14"/>
      <c r="E724" s="14"/>
      <c r="F724" s="14"/>
      <c r="G724" s="14"/>
      <c r="H724" s="14"/>
      <c r="I724" s="17"/>
      <c r="J724" s="17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>
      <c r="A725" s="14"/>
      <c r="B725" s="14"/>
      <c r="C725" s="16"/>
      <c r="D725" s="14"/>
      <c r="E725" s="14"/>
      <c r="F725" s="14"/>
      <c r="G725" s="14"/>
      <c r="H725" s="14"/>
      <c r="I725" s="17"/>
      <c r="J725" s="17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>
      <c r="A726" s="14"/>
      <c r="B726" s="14"/>
      <c r="C726" s="16"/>
      <c r="D726" s="14"/>
      <c r="E726" s="14"/>
      <c r="F726" s="14"/>
      <c r="G726" s="14"/>
      <c r="H726" s="14"/>
      <c r="I726" s="17"/>
      <c r="J726" s="17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>
      <c r="A727" s="14"/>
      <c r="B727" s="14"/>
      <c r="C727" s="16"/>
      <c r="D727" s="14"/>
      <c r="E727" s="14"/>
      <c r="F727" s="14"/>
      <c r="G727" s="14"/>
      <c r="H727" s="14"/>
      <c r="I727" s="17"/>
      <c r="J727" s="17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>
      <c r="A728" s="14"/>
      <c r="B728" s="14"/>
      <c r="C728" s="16"/>
      <c r="D728" s="14"/>
      <c r="E728" s="14"/>
      <c r="F728" s="14"/>
      <c r="G728" s="14"/>
      <c r="H728" s="14"/>
      <c r="I728" s="17"/>
      <c r="J728" s="17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>
      <c r="A729" s="14"/>
      <c r="B729" s="14"/>
      <c r="C729" s="16"/>
      <c r="D729" s="14"/>
      <c r="E729" s="14"/>
      <c r="F729" s="14"/>
      <c r="G729" s="14"/>
      <c r="H729" s="14"/>
      <c r="I729" s="17"/>
      <c r="J729" s="17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>
      <c r="A730" s="14"/>
      <c r="B730" s="14"/>
      <c r="C730" s="16"/>
      <c r="D730" s="14"/>
      <c r="E730" s="14"/>
      <c r="F730" s="14"/>
      <c r="G730" s="14"/>
      <c r="H730" s="14"/>
      <c r="I730" s="17"/>
      <c r="J730" s="17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>
      <c r="A731" s="14"/>
      <c r="B731" s="14"/>
      <c r="C731" s="16"/>
      <c r="D731" s="14"/>
      <c r="E731" s="14"/>
      <c r="F731" s="14"/>
      <c r="G731" s="14"/>
      <c r="H731" s="14"/>
      <c r="I731" s="17"/>
      <c r="J731" s="17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>
      <c r="A732" s="14"/>
      <c r="B732" s="14"/>
      <c r="C732" s="16"/>
      <c r="D732" s="14"/>
      <c r="E732" s="14"/>
      <c r="F732" s="14"/>
      <c r="G732" s="14"/>
      <c r="H732" s="14"/>
      <c r="I732" s="17"/>
      <c r="J732" s="17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>
      <c r="A733" s="14"/>
      <c r="B733" s="14"/>
      <c r="C733" s="16"/>
      <c r="D733" s="14"/>
      <c r="E733" s="14"/>
      <c r="F733" s="14"/>
      <c r="G733" s="14"/>
      <c r="H733" s="14"/>
      <c r="I733" s="17"/>
      <c r="J733" s="17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>
      <c r="A734" s="14"/>
      <c r="B734" s="14"/>
      <c r="C734" s="16"/>
      <c r="D734" s="14"/>
      <c r="E734" s="14"/>
      <c r="F734" s="14"/>
      <c r="G734" s="14"/>
      <c r="H734" s="14"/>
      <c r="I734" s="17"/>
      <c r="J734" s="17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>
      <c r="A735" s="14"/>
      <c r="B735" s="14"/>
      <c r="C735" s="16"/>
      <c r="D735" s="14"/>
      <c r="E735" s="14"/>
      <c r="F735" s="14"/>
      <c r="G735" s="14"/>
      <c r="H735" s="14"/>
      <c r="I735" s="17"/>
      <c r="J735" s="17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>
      <c r="A736" s="14"/>
      <c r="B736" s="14"/>
      <c r="C736" s="16"/>
      <c r="D736" s="14"/>
      <c r="E736" s="14"/>
      <c r="F736" s="14"/>
      <c r="G736" s="14"/>
      <c r="H736" s="14"/>
      <c r="I736" s="17"/>
      <c r="J736" s="17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>
      <c r="A737" s="14"/>
      <c r="B737" s="14"/>
      <c r="C737" s="16"/>
      <c r="D737" s="14"/>
      <c r="E737" s="14"/>
      <c r="F737" s="14"/>
      <c r="G737" s="14"/>
      <c r="H737" s="14"/>
      <c r="I737" s="17"/>
      <c r="J737" s="17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>
      <c r="A738" s="14"/>
      <c r="B738" s="14"/>
      <c r="C738" s="16"/>
      <c r="D738" s="14"/>
      <c r="E738" s="14"/>
      <c r="F738" s="14"/>
      <c r="G738" s="14"/>
      <c r="H738" s="14"/>
      <c r="I738" s="17"/>
      <c r="J738" s="17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>
      <c r="A739" s="14"/>
      <c r="B739" s="14"/>
      <c r="C739" s="16"/>
      <c r="D739" s="14"/>
      <c r="E739" s="14"/>
      <c r="F739" s="14"/>
      <c r="G739" s="14"/>
      <c r="H739" s="14"/>
      <c r="I739" s="17"/>
      <c r="J739" s="17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>
      <c r="A740" s="14"/>
      <c r="B740" s="14"/>
      <c r="C740" s="16"/>
      <c r="D740" s="14"/>
      <c r="E740" s="14"/>
      <c r="F740" s="14"/>
      <c r="G740" s="14"/>
      <c r="H740" s="14"/>
      <c r="I740" s="17"/>
      <c r="J740" s="17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>
      <c r="A741" s="14"/>
      <c r="B741" s="14"/>
      <c r="C741" s="16"/>
      <c r="D741" s="14"/>
      <c r="E741" s="14"/>
      <c r="F741" s="14"/>
      <c r="G741" s="14"/>
      <c r="H741" s="14"/>
      <c r="I741" s="17"/>
      <c r="J741" s="17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>
      <c r="A742" s="14"/>
      <c r="B742" s="14"/>
      <c r="C742" s="16"/>
      <c r="D742" s="14"/>
      <c r="E742" s="14"/>
      <c r="F742" s="14"/>
      <c r="G742" s="14"/>
      <c r="H742" s="14"/>
      <c r="I742" s="17"/>
      <c r="J742" s="17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>
      <c r="A743" s="14"/>
      <c r="B743" s="14"/>
      <c r="C743" s="16"/>
      <c r="D743" s="14"/>
      <c r="E743" s="14"/>
      <c r="F743" s="14"/>
      <c r="G743" s="14"/>
      <c r="H743" s="14"/>
      <c r="I743" s="17"/>
      <c r="J743" s="17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>
      <c r="A744" s="14"/>
      <c r="B744" s="14"/>
      <c r="C744" s="16"/>
      <c r="D744" s="14"/>
      <c r="E744" s="14"/>
      <c r="F744" s="14"/>
      <c r="G744" s="14"/>
      <c r="H744" s="14"/>
      <c r="I744" s="17"/>
      <c r="J744" s="17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>
      <c r="A745" s="14"/>
      <c r="B745" s="14"/>
      <c r="C745" s="16"/>
      <c r="D745" s="14"/>
      <c r="E745" s="14"/>
      <c r="F745" s="14"/>
      <c r="G745" s="14"/>
      <c r="H745" s="14"/>
      <c r="I745" s="17"/>
      <c r="J745" s="17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>
      <c r="A746" s="14"/>
      <c r="B746" s="14"/>
      <c r="C746" s="16"/>
      <c r="D746" s="14"/>
      <c r="E746" s="14"/>
      <c r="F746" s="14"/>
      <c r="G746" s="14"/>
      <c r="H746" s="14"/>
      <c r="I746" s="17"/>
      <c r="J746" s="17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>
      <c r="A747" s="14"/>
      <c r="B747" s="14"/>
      <c r="C747" s="16"/>
      <c r="D747" s="14"/>
      <c r="E747" s="14"/>
      <c r="F747" s="14"/>
      <c r="G747" s="14"/>
      <c r="H747" s="14"/>
      <c r="I747" s="17"/>
      <c r="J747" s="17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>
      <c r="A748" s="14"/>
      <c r="B748" s="14"/>
      <c r="C748" s="16"/>
      <c r="D748" s="14"/>
      <c r="E748" s="14"/>
      <c r="F748" s="14"/>
      <c r="G748" s="14"/>
      <c r="H748" s="14"/>
      <c r="I748" s="17"/>
      <c r="J748" s="17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>
      <c r="A749" s="14"/>
      <c r="B749" s="14"/>
      <c r="C749" s="16"/>
      <c r="D749" s="14"/>
      <c r="E749" s="14"/>
      <c r="F749" s="14"/>
      <c r="G749" s="14"/>
      <c r="H749" s="14"/>
      <c r="I749" s="17"/>
      <c r="J749" s="17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>
      <c r="A750" s="14"/>
      <c r="B750" s="14"/>
      <c r="C750" s="16"/>
      <c r="D750" s="14"/>
      <c r="E750" s="14"/>
      <c r="F750" s="14"/>
      <c r="G750" s="14"/>
      <c r="H750" s="14"/>
      <c r="I750" s="17"/>
      <c r="J750" s="17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>
      <c r="A751" s="14"/>
      <c r="B751" s="14"/>
      <c r="C751" s="16"/>
      <c r="D751" s="14"/>
      <c r="E751" s="14"/>
      <c r="F751" s="14"/>
      <c r="G751" s="14"/>
      <c r="H751" s="14"/>
      <c r="I751" s="17"/>
      <c r="J751" s="17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>
      <c r="A752" s="14"/>
      <c r="B752" s="14"/>
      <c r="C752" s="16"/>
      <c r="D752" s="14"/>
      <c r="E752" s="14"/>
      <c r="F752" s="14"/>
      <c r="G752" s="14"/>
      <c r="H752" s="14"/>
      <c r="I752" s="17"/>
      <c r="J752" s="17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>
      <c r="A753" s="14"/>
      <c r="B753" s="14"/>
      <c r="C753" s="16"/>
      <c r="D753" s="14"/>
      <c r="E753" s="14"/>
      <c r="F753" s="14"/>
      <c r="G753" s="14"/>
      <c r="H753" s="14"/>
      <c r="I753" s="17"/>
      <c r="J753" s="17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>
      <c r="A754" s="14"/>
      <c r="B754" s="14"/>
      <c r="C754" s="16"/>
      <c r="D754" s="14"/>
      <c r="E754" s="14"/>
      <c r="F754" s="14"/>
      <c r="G754" s="14"/>
      <c r="H754" s="14"/>
      <c r="I754" s="17"/>
      <c r="J754" s="17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>
      <c r="A755" s="14"/>
      <c r="B755" s="14"/>
      <c r="C755" s="16"/>
      <c r="D755" s="14"/>
      <c r="E755" s="14"/>
      <c r="F755" s="14"/>
      <c r="G755" s="14"/>
      <c r="H755" s="14"/>
      <c r="I755" s="17"/>
      <c r="J755" s="17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>
      <c r="A756" s="14"/>
      <c r="B756" s="14"/>
      <c r="C756" s="16"/>
      <c r="D756" s="14"/>
      <c r="E756" s="14"/>
      <c r="F756" s="14"/>
      <c r="G756" s="14"/>
      <c r="H756" s="14"/>
      <c r="I756" s="17"/>
      <c r="J756" s="17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>
      <c r="A757" s="14"/>
      <c r="B757" s="14"/>
      <c r="C757" s="16"/>
      <c r="D757" s="14"/>
      <c r="E757" s="14"/>
      <c r="F757" s="14"/>
      <c r="G757" s="14"/>
      <c r="H757" s="14"/>
      <c r="I757" s="17"/>
      <c r="J757" s="17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>
      <c r="A758" s="14"/>
      <c r="B758" s="14"/>
      <c r="C758" s="16"/>
      <c r="D758" s="14"/>
      <c r="E758" s="14"/>
      <c r="F758" s="14"/>
      <c r="G758" s="14"/>
      <c r="H758" s="14"/>
      <c r="I758" s="17"/>
      <c r="J758" s="17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>
      <c r="A759" s="14"/>
      <c r="B759" s="14"/>
      <c r="C759" s="16"/>
      <c r="D759" s="14"/>
      <c r="E759" s="14"/>
      <c r="F759" s="14"/>
      <c r="G759" s="14"/>
      <c r="H759" s="14"/>
      <c r="I759" s="17"/>
      <c r="J759" s="17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>
      <c r="A760" s="14"/>
      <c r="B760" s="14"/>
      <c r="C760" s="16"/>
      <c r="D760" s="14"/>
      <c r="E760" s="14"/>
      <c r="F760" s="14"/>
      <c r="G760" s="14"/>
      <c r="H760" s="14"/>
      <c r="I760" s="17"/>
      <c r="J760" s="17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>
      <c r="A761" s="14"/>
      <c r="B761" s="14"/>
      <c r="C761" s="16"/>
      <c r="D761" s="14"/>
      <c r="E761" s="14"/>
      <c r="F761" s="14"/>
      <c r="G761" s="14"/>
      <c r="H761" s="14"/>
      <c r="I761" s="17"/>
      <c r="J761" s="17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>
      <c r="A762" s="14"/>
      <c r="B762" s="14"/>
      <c r="C762" s="16"/>
      <c r="D762" s="14"/>
      <c r="E762" s="14"/>
      <c r="F762" s="14"/>
      <c r="G762" s="14"/>
      <c r="H762" s="14"/>
      <c r="I762" s="17"/>
      <c r="J762" s="17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>
      <c r="A763" s="14"/>
      <c r="B763" s="14"/>
      <c r="C763" s="16"/>
      <c r="D763" s="14"/>
      <c r="E763" s="14"/>
      <c r="F763" s="14"/>
      <c r="G763" s="14"/>
      <c r="H763" s="14"/>
      <c r="I763" s="17"/>
      <c r="J763" s="17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>
      <c r="A764" s="14"/>
      <c r="B764" s="14"/>
      <c r="C764" s="16"/>
      <c r="D764" s="14"/>
      <c r="E764" s="14"/>
      <c r="F764" s="14"/>
      <c r="G764" s="14"/>
      <c r="H764" s="14"/>
      <c r="I764" s="17"/>
      <c r="J764" s="17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>
      <c r="A765" s="14"/>
      <c r="B765" s="14"/>
      <c r="C765" s="16"/>
      <c r="D765" s="14"/>
      <c r="E765" s="14"/>
      <c r="F765" s="14"/>
      <c r="G765" s="14"/>
      <c r="H765" s="14"/>
      <c r="I765" s="17"/>
      <c r="J765" s="17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>
      <c r="A766" s="14"/>
      <c r="B766" s="14"/>
      <c r="C766" s="16"/>
      <c r="D766" s="14"/>
      <c r="E766" s="14"/>
      <c r="F766" s="14"/>
      <c r="G766" s="14"/>
      <c r="H766" s="14"/>
      <c r="I766" s="17"/>
      <c r="J766" s="17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>
      <c r="A767" s="14"/>
      <c r="B767" s="14"/>
      <c r="C767" s="16"/>
      <c r="D767" s="14"/>
      <c r="E767" s="14"/>
      <c r="F767" s="14"/>
      <c r="G767" s="14"/>
      <c r="H767" s="14"/>
      <c r="I767" s="17"/>
      <c r="J767" s="17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>
      <c r="A768" s="14"/>
      <c r="B768" s="14"/>
      <c r="C768" s="16"/>
      <c r="D768" s="14"/>
      <c r="E768" s="14"/>
      <c r="F768" s="14"/>
      <c r="G768" s="14"/>
      <c r="H768" s="14"/>
      <c r="I768" s="17"/>
      <c r="J768" s="17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>
      <c r="A769" s="14"/>
      <c r="B769" s="14"/>
      <c r="C769" s="16"/>
      <c r="D769" s="14"/>
      <c r="E769" s="14"/>
      <c r="F769" s="14"/>
      <c r="G769" s="14"/>
      <c r="H769" s="14"/>
      <c r="I769" s="17"/>
      <c r="J769" s="17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>
      <c r="A770" s="14"/>
      <c r="B770" s="14"/>
      <c r="C770" s="16"/>
      <c r="D770" s="14"/>
      <c r="E770" s="14"/>
      <c r="F770" s="14"/>
      <c r="G770" s="14"/>
      <c r="H770" s="14"/>
      <c r="I770" s="17"/>
      <c r="J770" s="17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>
      <c r="A771" s="14"/>
      <c r="B771" s="14"/>
      <c r="C771" s="16"/>
      <c r="D771" s="14"/>
      <c r="E771" s="14"/>
      <c r="F771" s="14"/>
      <c r="G771" s="14"/>
      <c r="H771" s="14"/>
      <c r="I771" s="17"/>
      <c r="J771" s="17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>
      <c r="A772" s="14"/>
      <c r="B772" s="14"/>
      <c r="C772" s="16"/>
      <c r="D772" s="14"/>
      <c r="E772" s="14"/>
      <c r="F772" s="14"/>
      <c r="G772" s="14"/>
      <c r="H772" s="14"/>
      <c r="I772" s="17"/>
      <c r="J772" s="17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>
      <c r="A773" s="14"/>
      <c r="B773" s="14"/>
      <c r="C773" s="16"/>
      <c r="D773" s="14"/>
      <c r="E773" s="14"/>
      <c r="F773" s="14"/>
      <c r="G773" s="14"/>
      <c r="H773" s="14"/>
      <c r="I773" s="17"/>
      <c r="J773" s="17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>
      <c r="A774" s="14"/>
      <c r="B774" s="14"/>
      <c r="C774" s="16"/>
      <c r="D774" s="14"/>
      <c r="E774" s="14"/>
      <c r="F774" s="14"/>
      <c r="G774" s="14"/>
      <c r="H774" s="14"/>
      <c r="I774" s="17"/>
      <c r="J774" s="17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>
      <c r="A775" s="14"/>
      <c r="B775" s="14"/>
      <c r="C775" s="16"/>
      <c r="D775" s="14"/>
      <c r="E775" s="14"/>
      <c r="F775" s="14"/>
      <c r="G775" s="14"/>
      <c r="H775" s="14"/>
      <c r="I775" s="17"/>
      <c r="J775" s="17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>
      <c r="A776" s="14"/>
      <c r="B776" s="14"/>
      <c r="C776" s="16"/>
      <c r="D776" s="14"/>
      <c r="E776" s="14"/>
      <c r="F776" s="14"/>
      <c r="G776" s="14"/>
      <c r="H776" s="14"/>
      <c r="I776" s="17"/>
      <c r="J776" s="17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>
      <c r="A777" s="14"/>
      <c r="B777" s="14"/>
      <c r="C777" s="16"/>
      <c r="D777" s="14"/>
      <c r="E777" s="14"/>
      <c r="F777" s="14"/>
      <c r="G777" s="14"/>
      <c r="H777" s="14"/>
      <c r="I777" s="17"/>
      <c r="J777" s="17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>
      <c r="A778" s="14"/>
      <c r="B778" s="14"/>
      <c r="C778" s="16"/>
      <c r="D778" s="14"/>
      <c r="E778" s="14"/>
      <c r="F778" s="14"/>
      <c r="G778" s="14"/>
      <c r="H778" s="14"/>
      <c r="I778" s="17"/>
      <c r="J778" s="17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>
      <c r="A779" s="14"/>
      <c r="B779" s="14"/>
      <c r="C779" s="16"/>
      <c r="D779" s="14"/>
      <c r="E779" s="14"/>
      <c r="F779" s="14"/>
      <c r="G779" s="14"/>
      <c r="H779" s="14"/>
      <c r="I779" s="17"/>
      <c r="J779" s="17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>
      <c r="A780" s="14"/>
      <c r="B780" s="14"/>
      <c r="C780" s="16"/>
      <c r="D780" s="14"/>
      <c r="E780" s="14"/>
      <c r="F780" s="14"/>
      <c r="G780" s="14"/>
      <c r="H780" s="14"/>
      <c r="I780" s="17"/>
      <c r="J780" s="17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>
      <c r="A781" s="14"/>
      <c r="B781" s="14"/>
      <c r="C781" s="16"/>
      <c r="D781" s="14"/>
      <c r="E781" s="14"/>
      <c r="F781" s="14"/>
      <c r="G781" s="14"/>
      <c r="H781" s="14"/>
      <c r="I781" s="17"/>
      <c r="J781" s="17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>
      <c r="A782" s="14"/>
      <c r="B782" s="14"/>
      <c r="C782" s="16"/>
      <c r="D782" s="14"/>
      <c r="E782" s="14"/>
      <c r="F782" s="14"/>
      <c r="G782" s="14"/>
      <c r="H782" s="14"/>
      <c r="I782" s="17"/>
      <c r="J782" s="17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>
      <c r="A783" s="14"/>
      <c r="B783" s="14"/>
      <c r="C783" s="16"/>
      <c r="D783" s="14"/>
      <c r="E783" s="14"/>
      <c r="F783" s="14"/>
      <c r="G783" s="14"/>
      <c r="H783" s="14"/>
      <c r="I783" s="17"/>
      <c r="J783" s="17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>
      <c r="A784" s="14"/>
      <c r="B784" s="14"/>
      <c r="C784" s="16"/>
      <c r="D784" s="14"/>
      <c r="E784" s="14"/>
      <c r="F784" s="14"/>
      <c r="G784" s="14"/>
      <c r="H784" s="14"/>
      <c r="I784" s="17"/>
      <c r="J784" s="17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>
      <c r="A785" s="14"/>
      <c r="B785" s="14"/>
      <c r="C785" s="16"/>
      <c r="D785" s="14"/>
      <c r="E785" s="14"/>
      <c r="F785" s="14"/>
      <c r="G785" s="14"/>
      <c r="H785" s="14"/>
      <c r="I785" s="17"/>
      <c r="J785" s="17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>
      <c r="A786" s="14"/>
      <c r="B786" s="14"/>
      <c r="C786" s="16"/>
      <c r="D786" s="14"/>
      <c r="E786" s="14"/>
      <c r="F786" s="14"/>
      <c r="G786" s="14"/>
      <c r="H786" s="14"/>
      <c r="I786" s="17"/>
      <c r="J786" s="17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>
      <c r="A787" s="14"/>
      <c r="B787" s="14"/>
      <c r="C787" s="16"/>
      <c r="D787" s="14"/>
      <c r="E787" s="14"/>
      <c r="F787" s="14"/>
      <c r="G787" s="14"/>
      <c r="H787" s="14"/>
      <c r="I787" s="17"/>
      <c r="J787" s="17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>
      <c r="A788" s="14"/>
      <c r="B788" s="14"/>
      <c r="C788" s="16"/>
      <c r="D788" s="14"/>
      <c r="E788" s="14"/>
      <c r="F788" s="14"/>
      <c r="G788" s="14"/>
      <c r="H788" s="14"/>
      <c r="I788" s="17"/>
      <c r="J788" s="17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>
      <c r="A789" s="14"/>
      <c r="B789" s="14"/>
      <c r="C789" s="16"/>
      <c r="D789" s="14"/>
      <c r="E789" s="14"/>
      <c r="F789" s="14"/>
      <c r="G789" s="14"/>
      <c r="H789" s="14"/>
      <c r="I789" s="17"/>
      <c r="J789" s="17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>
      <c r="A790" s="14"/>
      <c r="B790" s="14"/>
      <c r="C790" s="16"/>
      <c r="D790" s="14"/>
      <c r="E790" s="14"/>
      <c r="F790" s="14"/>
      <c r="G790" s="14"/>
      <c r="H790" s="14"/>
      <c r="I790" s="17"/>
      <c r="J790" s="17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>
      <c r="A791" s="14"/>
      <c r="B791" s="14"/>
      <c r="C791" s="16"/>
      <c r="D791" s="14"/>
      <c r="E791" s="14"/>
      <c r="F791" s="14"/>
      <c r="G791" s="14"/>
      <c r="H791" s="14"/>
      <c r="I791" s="17"/>
      <c r="J791" s="17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>
      <c r="A792" s="14"/>
      <c r="B792" s="14"/>
      <c r="C792" s="16"/>
      <c r="D792" s="14"/>
      <c r="E792" s="14"/>
      <c r="F792" s="14"/>
      <c r="G792" s="14"/>
      <c r="H792" s="14"/>
      <c r="I792" s="17"/>
      <c r="J792" s="17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>
      <c r="A793" s="14"/>
      <c r="B793" s="14"/>
      <c r="C793" s="16"/>
      <c r="D793" s="14"/>
      <c r="E793" s="14"/>
      <c r="F793" s="14"/>
      <c r="G793" s="14"/>
      <c r="H793" s="14"/>
      <c r="I793" s="17"/>
      <c r="J793" s="17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>
      <c r="A794" s="14"/>
      <c r="B794" s="14"/>
      <c r="C794" s="16"/>
      <c r="D794" s="14"/>
      <c r="E794" s="14"/>
      <c r="F794" s="14"/>
      <c r="G794" s="14"/>
      <c r="H794" s="14"/>
      <c r="I794" s="17"/>
      <c r="J794" s="17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>
      <c r="A795" s="14"/>
      <c r="B795" s="14"/>
      <c r="C795" s="16"/>
      <c r="D795" s="14"/>
      <c r="E795" s="14"/>
      <c r="F795" s="14"/>
      <c r="G795" s="14"/>
      <c r="H795" s="14"/>
      <c r="I795" s="17"/>
      <c r="J795" s="17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>
      <c r="A796" s="14"/>
      <c r="B796" s="14"/>
      <c r="C796" s="16"/>
      <c r="D796" s="14"/>
      <c r="E796" s="14"/>
      <c r="F796" s="14"/>
      <c r="G796" s="14"/>
      <c r="H796" s="14"/>
      <c r="I796" s="17"/>
      <c r="J796" s="17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>
      <c r="A797" s="14"/>
      <c r="B797" s="14"/>
      <c r="C797" s="16"/>
      <c r="D797" s="14"/>
      <c r="E797" s="14"/>
      <c r="F797" s="14"/>
      <c r="G797" s="14"/>
      <c r="H797" s="14"/>
      <c r="I797" s="17"/>
      <c r="J797" s="17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>
      <c r="A798" s="14"/>
      <c r="B798" s="14"/>
      <c r="C798" s="16"/>
      <c r="D798" s="14"/>
      <c r="E798" s="14"/>
      <c r="F798" s="14"/>
      <c r="G798" s="14"/>
      <c r="H798" s="14"/>
      <c r="I798" s="17"/>
      <c r="J798" s="17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>
      <c r="A799" s="14"/>
      <c r="B799" s="14"/>
      <c r="C799" s="16"/>
      <c r="D799" s="14"/>
      <c r="E799" s="14"/>
      <c r="F799" s="14"/>
      <c r="G799" s="14"/>
      <c r="H799" s="14"/>
      <c r="I799" s="17"/>
      <c r="J799" s="17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>
      <c r="A800" s="14"/>
      <c r="B800" s="14"/>
      <c r="C800" s="16"/>
      <c r="D800" s="14"/>
      <c r="E800" s="14"/>
      <c r="F800" s="14"/>
      <c r="G800" s="14"/>
      <c r="H800" s="14"/>
      <c r="I800" s="17"/>
      <c r="J800" s="17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>
      <c r="A801" s="14"/>
      <c r="B801" s="14"/>
      <c r="C801" s="16"/>
      <c r="D801" s="14"/>
      <c r="E801" s="14"/>
      <c r="F801" s="14"/>
      <c r="G801" s="14"/>
      <c r="H801" s="14"/>
      <c r="I801" s="17"/>
      <c r="J801" s="17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>
      <c r="A802" s="14"/>
      <c r="B802" s="14"/>
      <c r="C802" s="16"/>
      <c r="D802" s="14"/>
      <c r="E802" s="14"/>
      <c r="F802" s="14"/>
      <c r="G802" s="14"/>
      <c r="H802" s="14"/>
      <c r="I802" s="17"/>
      <c r="J802" s="17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>
      <c r="A803" s="14"/>
      <c r="B803" s="14"/>
      <c r="C803" s="16"/>
      <c r="D803" s="14"/>
      <c r="E803" s="14"/>
      <c r="F803" s="14"/>
      <c r="G803" s="14"/>
      <c r="H803" s="14"/>
      <c r="I803" s="17"/>
      <c r="J803" s="17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>
      <c r="A804" s="14"/>
      <c r="B804" s="14"/>
      <c r="C804" s="16"/>
      <c r="D804" s="14"/>
      <c r="E804" s="14"/>
      <c r="F804" s="14"/>
      <c r="G804" s="14"/>
      <c r="H804" s="14"/>
      <c r="I804" s="17"/>
      <c r="J804" s="17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>
      <c r="A805" s="14"/>
      <c r="B805" s="14"/>
      <c r="C805" s="16"/>
      <c r="D805" s="14"/>
      <c r="E805" s="14"/>
      <c r="F805" s="14"/>
      <c r="G805" s="14"/>
      <c r="H805" s="14"/>
      <c r="I805" s="17"/>
      <c r="J805" s="17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>
      <c r="A806" s="14"/>
      <c r="B806" s="14"/>
      <c r="C806" s="16"/>
      <c r="D806" s="14"/>
      <c r="E806" s="14"/>
      <c r="F806" s="14"/>
      <c r="G806" s="14"/>
      <c r="H806" s="14"/>
      <c r="I806" s="17"/>
      <c r="J806" s="17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>
      <c r="A807" s="14"/>
      <c r="B807" s="14"/>
      <c r="C807" s="16"/>
      <c r="D807" s="14"/>
      <c r="E807" s="14"/>
      <c r="F807" s="14"/>
      <c r="G807" s="14"/>
      <c r="H807" s="14"/>
      <c r="I807" s="17"/>
      <c r="J807" s="17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>
      <c r="A808" s="14"/>
      <c r="B808" s="14"/>
      <c r="C808" s="16"/>
      <c r="D808" s="14"/>
      <c r="E808" s="14"/>
      <c r="F808" s="14"/>
      <c r="G808" s="14"/>
      <c r="H808" s="14"/>
      <c r="I808" s="17"/>
      <c r="J808" s="17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>
      <c r="A809" s="14"/>
      <c r="B809" s="14"/>
      <c r="C809" s="16"/>
      <c r="D809" s="14"/>
      <c r="E809" s="14"/>
      <c r="F809" s="14"/>
      <c r="G809" s="14"/>
      <c r="H809" s="14"/>
      <c r="I809" s="17"/>
      <c r="J809" s="17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>
      <c r="A810" s="14"/>
      <c r="B810" s="14"/>
      <c r="C810" s="16"/>
      <c r="D810" s="14"/>
      <c r="E810" s="14"/>
      <c r="F810" s="14"/>
      <c r="G810" s="14"/>
      <c r="H810" s="14"/>
      <c r="I810" s="17"/>
      <c r="J810" s="17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>
      <c r="A811" s="14"/>
      <c r="B811" s="14"/>
      <c r="C811" s="16"/>
      <c r="D811" s="14"/>
      <c r="E811" s="14"/>
      <c r="F811" s="14"/>
      <c r="G811" s="14"/>
      <c r="H811" s="14"/>
      <c r="I811" s="17"/>
      <c r="J811" s="17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>
      <c r="A812" s="14"/>
      <c r="B812" s="14"/>
      <c r="C812" s="16"/>
      <c r="D812" s="14"/>
      <c r="E812" s="14"/>
      <c r="F812" s="14"/>
      <c r="G812" s="14"/>
      <c r="H812" s="14"/>
      <c r="I812" s="17"/>
      <c r="J812" s="17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>
      <c r="A813" s="14"/>
      <c r="B813" s="14"/>
      <c r="C813" s="16"/>
      <c r="D813" s="14"/>
      <c r="E813" s="14"/>
      <c r="F813" s="14"/>
      <c r="G813" s="14"/>
      <c r="H813" s="14"/>
      <c r="I813" s="17"/>
      <c r="J813" s="17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>
      <c r="A814" s="14"/>
      <c r="B814" s="14"/>
      <c r="C814" s="16"/>
      <c r="D814" s="14"/>
      <c r="E814" s="14"/>
      <c r="F814" s="14"/>
      <c r="G814" s="14"/>
      <c r="H814" s="14"/>
      <c r="I814" s="17"/>
      <c r="J814" s="17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>
      <c r="A815" s="14"/>
      <c r="B815" s="14"/>
      <c r="C815" s="16"/>
      <c r="D815" s="14"/>
      <c r="E815" s="14"/>
      <c r="F815" s="14"/>
      <c r="G815" s="14"/>
      <c r="H815" s="14"/>
      <c r="I815" s="17"/>
      <c r="J815" s="17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>
      <c r="A816" s="14"/>
      <c r="B816" s="14"/>
      <c r="C816" s="16"/>
      <c r="D816" s="14"/>
      <c r="E816" s="14"/>
      <c r="F816" s="14"/>
      <c r="G816" s="14"/>
      <c r="H816" s="14"/>
      <c r="I816" s="17"/>
      <c r="J816" s="17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>
      <c r="A817" s="14"/>
      <c r="B817" s="14"/>
      <c r="C817" s="16"/>
      <c r="D817" s="14"/>
      <c r="E817" s="14"/>
      <c r="F817" s="14"/>
      <c r="G817" s="14"/>
      <c r="H817" s="14"/>
      <c r="I817" s="17"/>
      <c r="J817" s="17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>
      <c r="A818" s="14"/>
      <c r="B818" s="14"/>
      <c r="C818" s="16"/>
      <c r="D818" s="14"/>
      <c r="E818" s="14"/>
      <c r="F818" s="14"/>
      <c r="G818" s="14"/>
      <c r="H818" s="14"/>
      <c r="I818" s="17"/>
      <c r="J818" s="17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>
      <c r="A819" s="14"/>
      <c r="B819" s="14"/>
      <c r="C819" s="16"/>
      <c r="D819" s="14"/>
      <c r="E819" s="14"/>
      <c r="F819" s="14"/>
      <c r="G819" s="14"/>
      <c r="H819" s="14"/>
      <c r="I819" s="17"/>
      <c r="J819" s="17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>
      <c r="A820" s="14"/>
      <c r="B820" s="14"/>
      <c r="C820" s="16"/>
      <c r="D820" s="14"/>
      <c r="E820" s="14"/>
      <c r="F820" s="14"/>
      <c r="G820" s="14"/>
      <c r="H820" s="14"/>
      <c r="I820" s="17"/>
      <c r="J820" s="17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>
      <c r="A821" s="14"/>
      <c r="B821" s="14"/>
      <c r="C821" s="16"/>
      <c r="D821" s="14"/>
      <c r="E821" s="14"/>
      <c r="F821" s="14"/>
      <c r="G821" s="14"/>
      <c r="H821" s="14"/>
      <c r="I821" s="17"/>
      <c r="J821" s="17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>
      <c r="A822" s="14"/>
      <c r="B822" s="14"/>
      <c r="C822" s="16"/>
      <c r="D822" s="14"/>
      <c r="E822" s="14"/>
      <c r="F822" s="14"/>
      <c r="G822" s="14"/>
      <c r="H822" s="14"/>
      <c r="I822" s="17"/>
      <c r="J822" s="17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>
      <c r="A823" s="14"/>
      <c r="B823" s="14"/>
      <c r="C823" s="16"/>
      <c r="D823" s="14"/>
      <c r="E823" s="14"/>
      <c r="F823" s="14"/>
      <c r="G823" s="14"/>
      <c r="H823" s="14"/>
      <c r="I823" s="17"/>
      <c r="J823" s="17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>
      <c r="A824" s="14"/>
      <c r="B824" s="14"/>
      <c r="C824" s="16"/>
      <c r="D824" s="14"/>
      <c r="E824" s="14"/>
      <c r="F824" s="14"/>
      <c r="G824" s="14"/>
      <c r="H824" s="14"/>
      <c r="I824" s="17"/>
      <c r="J824" s="17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>
      <c r="A825" s="14"/>
      <c r="B825" s="14"/>
      <c r="C825" s="16"/>
      <c r="D825" s="14"/>
      <c r="E825" s="14"/>
      <c r="F825" s="14"/>
      <c r="G825" s="14"/>
      <c r="H825" s="14"/>
      <c r="I825" s="17"/>
      <c r="J825" s="17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>
      <c r="A826" s="14"/>
      <c r="B826" s="14"/>
      <c r="C826" s="16"/>
      <c r="D826" s="14"/>
      <c r="E826" s="14"/>
      <c r="F826" s="14"/>
      <c r="G826" s="14"/>
      <c r="H826" s="14"/>
      <c r="I826" s="17"/>
      <c r="J826" s="17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>
      <c r="A827" s="14"/>
      <c r="B827" s="14"/>
      <c r="C827" s="16"/>
      <c r="D827" s="14"/>
      <c r="E827" s="14"/>
      <c r="F827" s="14"/>
      <c r="G827" s="14"/>
      <c r="H827" s="14"/>
      <c r="I827" s="17"/>
      <c r="J827" s="17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>
      <c r="A828" s="14"/>
      <c r="B828" s="14"/>
      <c r="C828" s="16"/>
      <c r="D828" s="14"/>
      <c r="E828" s="14"/>
      <c r="F828" s="14"/>
      <c r="G828" s="14"/>
      <c r="H828" s="14"/>
      <c r="I828" s="17"/>
      <c r="J828" s="17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>
      <c r="A829" s="14"/>
      <c r="B829" s="14"/>
      <c r="C829" s="16"/>
      <c r="D829" s="14"/>
      <c r="E829" s="14"/>
      <c r="F829" s="14"/>
      <c r="G829" s="14"/>
      <c r="H829" s="14"/>
      <c r="I829" s="17"/>
      <c r="J829" s="17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>
      <c r="A830" s="14"/>
      <c r="B830" s="14"/>
      <c r="C830" s="16"/>
      <c r="D830" s="14"/>
      <c r="E830" s="14"/>
      <c r="F830" s="14"/>
      <c r="G830" s="14"/>
      <c r="H830" s="14"/>
      <c r="I830" s="17"/>
      <c r="J830" s="17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>
      <c r="A831" s="14"/>
      <c r="B831" s="14"/>
      <c r="C831" s="16"/>
      <c r="D831" s="14"/>
      <c r="E831" s="14"/>
      <c r="F831" s="14"/>
      <c r="G831" s="14"/>
      <c r="H831" s="14"/>
      <c r="I831" s="17"/>
      <c r="J831" s="17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>
      <c r="A832" s="14"/>
      <c r="B832" s="14"/>
      <c r="C832" s="16"/>
      <c r="D832" s="14"/>
      <c r="E832" s="14"/>
      <c r="F832" s="14"/>
      <c r="G832" s="14"/>
      <c r="H832" s="14"/>
      <c r="I832" s="17"/>
      <c r="J832" s="17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>
      <c r="A833" s="14"/>
      <c r="B833" s="14"/>
      <c r="C833" s="16"/>
      <c r="D833" s="14"/>
      <c r="E833" s="14"/>
      <c r="F833" s="14"/>
      <c r="G833" s="14"/>
      <c r="H833" s="14"/>
      <c r="I833" s="17"/>
      <c r="J833" s="17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>
      <c r="A834" s="14"/>
      <c r="B834" s="14"/>
      <c r="C834" s="16"/>
      <c r="D834" s="14"/>
      <c r="E834" s="14"/>
      <c r="F834" s="14"/>
      <c r="G834" s="14"/>
      <c r="H834" s="14"/>
      <c r="I834" s="17"/>
      <c r="J834" s="17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>
      <c r="A835" s="14"/>
      <c r="B835" s="14"/>
      <c r="C835" s="16"/>
      <c r="D835" s="14"/>
      <c r="E835" s="14"/>
      <c r="F835" s="14"/>
      <c r="G835" s="14"/>
      <c r="H835" s="14"/>
      <c r="I835" s="17"/>
      <c r="J835" s="17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>
      <c r="A836" s="14"/>
      <c r="B836" s="14"/>
      <c r="C836" s="16"/>
      <c r="D836" s="14"/>
      <c r="E836" s="14"/>
      <c r="F836" s="14"/>
      <c r="G836" s="14"/>
      <c r="H836" s="14"/>
      <c r="I836" s="17"/>
      <c r="J836" s="17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>
      <c r="A837" s="14"/>
      <c r="B837" s="14"/>
      <c r="C837" s="16"/>
      <c r="D837" s="14"/>
      <c r="E837" s="14"/>
      <c r="F837" s="14"/>
      <c r="G837" s="14"/>
      <c r="H837" s="14"/>
      <c r="I837" s="17"/>
      <c r="J837" s="17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>
      <c r="A838" s="14"/>
      <c r="B838" s="14"/>
      <c r="C838" s="16"/>
      <c r="D838" s="14"/>
      <c r="E838" s="14"/>
      <c r="F838" s="14"/>
      <c r="G838" s="14"/>
      <c r="H838" s="14"/>
      <c r="I838" s="17"/>
      <c r="J838" s="17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>
      <c r="A839" s="14"/>
      <c r="B839" s="14"/>
      <c r="C839" s="16"/>
      <c r="D839" s="14"/>
      <c r="E839" s="14"/>
      <c r="F839" s="14"/>
      <c r="G839" s="14"/>
      <c r="H839" s="14"/>
      <c r="I839" s="17"/>
      <c r="J839" s="17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>
      <c r="A840" s="14"/>
      <c r="B840" s="14"/>
      <c r="C840" s="16"/>
      <c r="D840" s="14"/>
      <c r="E840" s="14"/>
      <c r="F840" s="14"/>
      <c r="G840" s="14"/>
      <c r="H840" s="14"/>
      <c r="I840" s="17"/>
      <c r="J840" s="17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>
      <c r="A841" s="14"/>
      <c r="B841" s="14"/>
      <c r="C841" s="16"/>
      <c r="D841" s="14"/>
      <c r="E841" s="14"/>
      <c r="F841" s="14"/>
      <c r="G841" s="14"/>
      <c r="H841" s="14"/>
      <c r="I841" s="17"/>
      <c r="J841" s="17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>
      <c r="A842" s="14"/>
      <c r="B842" s="14"/>
      <c r="C842" s="16"/>
      <c r="D842" s="14"/>
      <c r="E842" s="14"/>
      <c r="F842" s="14"/>
      <c r="G842" s="14"/>
      <c r="H842" s="14"/>
      <c r="I842" s="17"/>
      <c r="J842" s="17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>
      <c r="A843" s="14"/>
      <c r="B843" s="14"/>
      <c r="C843" s="16"/>
      <c r="D843" s="14"/>
      <c r="E843" s="14"/>
      <c r="F843" s="14"/>
      <c r="G843" s="14"/>
      <c r="H843" s="14"/>
      <c r="I843" s="17"/>
      <c r="J843" s="17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>
      <c r="A844" s="14"/>
      <c r="B844" s="14"/>
      <c r="C844" s="16"/>
      <c r="D844" s="14"/>
      <c r="E844" s="14"/>
      <c r="F844" s="14"/>
      <c r="G844" s="14"/>
      <c r="H844" s="14"/>
      <c r="I844" s="17"/>
      <c r="J844" s="17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>
      <c r="A845" s="14"/>
      <c r="B845" s="14"/>
      <c r="C845" s="16"/>
      <c r="D845" s="14"/>
      <c r="E845" s="14"/>
      <c r="F845" s="14"/>
      <c r="G845" s="14"/>
      <c r="H845" s="14"/>
      <c r="I845" s="17"/>
      <c r="J845" s="17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>
      <c r="A846" s="14"/>
      <c r="B846" s="14"/>
      <c r="C846" s="16"/>
      <c r="D846" s="14"/>
      <c r="E846" s="14"/>
      <c r="F846" s="14"/>
      <c r="G846" s="14"/>
      <c r="H846" s="14"/>
      <c r="I846" s="17"/>
      <c r="J846" s="17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>
      <c r="A847" s="14"/>
      <c r="B847" s="14"/>
      <c r="C847" s="16"/>
      <c r="D847" s="14"/>
      <c r="E847" s="14"/>
      <c r="F847" s="14"/>
      <c r="G847" s="14"/>
      <c r="H847" s="14"/>
      <c r="I847" s="17"/>
      <c r="J847" s="17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>
      <c r="A848" s="14"/>
      <c r="B848" s="14"/>
      <c r="C848" s="16"/>
      <c r="D848" s="14"/>
      <c r="E848" s="14"/>
      <c r="F848" s="14"/>
      <c r="G848" s="14"/>
      <c r="H848" s="14"/>
      <c r="I848" s="17"/>
      <c r="J848" s="17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>
      <c r="A849" s="14"/>
      <c r="B849" s="14"/>
      <c r="C849" s="16"/>
      <c r="D849" s="14"/>
      <c r="E849" s="14"/>
      <c r="F849" s="14"/>
      <c r="G849" s="14"/>
      <c r="H849" s="14"/>
      <c r="I849" s="17"/>
      <c r="J849" s="17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>
      <c r="A850" s="14"/>
      <c r="B850" s="14"/>
      <c r="C850" s="16"/>
      <c r="D850" s="14"/>
      <c r="E850" s="14"/>
      <c r="F850" s="14"/>
      <c r="G850" s="14"/>
      <c r="H850" s="14"/>
      <c r="I850" s="17"/>
      <c r="J850" s="17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>
      <c r="A851" s="14"/>
      <c r="B851" s="14"/>
      <c r="C851" s="16"/>
      <c r="D851" s="14"/>
      <c r="E851" s="14"/>
      <c r="F851" s="14"/>
      <c r="G851" s="14"/>
      <c r="H851" s="14"/>
      <c r="I851" s="17"/>
      <c r="J851" s="17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>
      <c r="A852" s="14"/>
      <c r="B852" s="14"/>
      <c r="C852" s="16"/>
      <c r="D852" s="14"/>
      <c r="E852" s="14"/>
      <c r="F852" s="14"/>
      <c r="G852" s="14"/>
      <c r="H852" s="14"/>
      <c r="I852" s="17"/>
      <c r="J852" s="17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>
      <c r="A853" s="14"/>
      <c r="B853" s="14"/>
      <c r="C853" s="16"/>
      <c r="D853" s="14"/>
      <c r="E853" s="14"/>
      <c r="F853" s="14"/>
      <c r="G853" s="14"/>
      <c r="H853" s="14"/>
      <c r="I853" s="17"/>
      <c r="J853" s="17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>
      <c r="A854" s="14"/>
      <c r="B854" s="14"/>
      <c r="C854" s="16"/>
      <c r="D854" s="14"/>
      <c r="E854" s="14"/>
      <c r="F854" s="14"/>
      <c r="G854" s="14"/>
      <c r="H854" s="14"/>
      <c r="I854" s="17"/>
      <c r="J854" s="17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>
      <c r="A855" s="14"/>
      <c r="B855" s="14"/>
      <c r="C855" s="16"/>
      <c r="D855" s="14"/>
      <c r="E855" s="14"/>
      <c r="F855" s="14"/>
      <c r="G855" s="14"/>
      <c r="H855" s="14"/>
      <c r="I855" s="17"/>
      <c r="J855" s="17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>
      <c r="A856" s="14"/>
      <c r="B856" s="14"/>
      <c r="C856" s="16"/>
      <c r="D856" s="14"/>
      <c r="E856" s="14"/>
      <c r="F856" s="14"/>
      <c r="G856" s="14"/>
      <c r="H856" s="14"/>
      <c r="I856" s="17"/>
      <c r="J856" s="17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>
      <c r="A857" s="14"/>
      <c r="B857" s="14"/>
      <c r="C857" s="16"/>
      <c r="D857" s="14"/>
      <c r="E857" s="14"/>
      <c r="F857" s="14"/>
      <c r="G857" s="14"/>
      <c r="H857" s="14"/>
      <c r="I857" s="17"/>
      <c r="J857" s="17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>
      <c r="A858" s="14"/>
      <c r="B858" s="14"/>
      <c r="C858" s="16"/>
      <c r="D858" s="14"/>
      <c r="E858" s="14"/>
      <c r="F858" s="14"/>
      <c r="G858" s="14"/>
      <c r="H858" s="14"/>
      <c r="I858" s="17"/>
      <c r="J858" s="17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>
      <c r="A859" s="14"/>
      <c r="B859" s="14"/>
      <c r="C859" s="16"/>
      <c r="D859" s="14"/>
      <c r="E859" s="14"/>
      <c r="F859" s="14"/>
      <c r="G859" s="14"/>
      <c r="H859" s="14"/>
      <c r="I859" s="17"/>
      <c r="J859" s="17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>
      <c r="A860" s="14"/>
      <c r="B860" s="14"/>
      <c r="C860" s="16"/>
      <c r="D860" s="14"/>
      <c r="E860" s="14"/>
      <c r="F860" s="14"/>
      <c r="G860" s="14"/>
      <c r="H860" s="14"/>
      <c r="I860" s="17"/>
      <c r="J860" s="17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>
      <c r="A861" s="14"/>
      <c r="B861" s="14"/>
      <c r="C861" s="16"/>
      <c r="D861" s="14"/>
      <c r="E861" s="14"/>
      <c r="F861" s="14"/>
      <c r="G861" s="14"/>
      <c r="H861" s="14"/>
      <c r="I861" s="17"/>
      <c r="J861" s="17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>
      <c r="A862" s="14"/>
      <c r="B862" s="14"/>
      <c r="C862" s="16"/>
      <c r="D862" s="14"/>
      <c r="E862" s="14"/>
      <c r="F862" s="14"/>
      <c r="G862" s="14"/>
      <c r="H862" s="14"/>
      <c r="I862" s="17"/>
      <c r="J862" s="17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>
      <c r="A863" s="14"/>
      <c r="B863" s="14"/>
      <c r="C863" s="16"/>
      <c r="D863" s="14"/>
      <c r="E863" s="14"/>
      <c r="F863" s="14"/>
      <c r="G863" s="14"/>
      <c r="H863" s="14"/>
      <c r="I863" s="17"/>
      <c r="J863" s="17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>
      <c r="A864" s="14"/>
      <c r="B864" s="14"/>
      <c r="C864" s="16"/>
      <c r="D864" s="14"/>
      <c r="E864" s="14"/>
      <c r="F864" s="14"/>
      <c r="G864" s="14"/>
      <c r="H864" s="14"/>
      <c r="I864" s="17"/>
      <c r="J864" s="17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>
      <c r="A865" s="14"/>
      <c r="B865" s="14"/>
      <c r="C865" s="16"/>
      <c r="D865" s="14"/>
      <c r="E865" s="14"/>
      <c r="F865" s="14"/>
      <c r="G865" s="14"/>
      <c r="H865" s="14"/>
      <c r="I865" s="17"/>
      <c r="J865" s="17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>
      <c r="A866" s="14"/>
      <c r="B866" s="14"/>
      <c r="C866" s="16"/>
      <c r="D866" s="14"/>
      <c r="E866" s="14"/>
      <c r="F866" s="14"/>
      <c r="G866" s="14"/>
      <c r="H866" s="14"/>
      <c r="I866" s="17"/>
      <c r="J866" s="17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>
      <c r="A867" s="14"/>
      <c r="B867" s="14"/>
      <c r="C867" s="16"/>
      <c r="D867" s="14"/>
      <c r="E867" s="14"/>
      <c r="F867" s="14"/>
      <c r="G867" s="14"/>
      <c r="H867" s="14"/>
      <c r="I867" s="17"/>
      <c r="J867" s="17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>
      <c r="A868" s="14"/>
      <c r="B868" s="14"/>
      <c r="C868" s="16"/>
      <c r="D868" s="14"/>
      <c r="E868" s="14"/>
      <c r="F868" s="14"/>
      <c r="G868" s="14"/>
      <c r="H868" s="14"/>
      <c r="I868" s="17"/>
      <c r="J868" s="17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>
      <c r="A869" s="14"/>
      <c r="B869" s="14"/>
      <c r="C869" s="16"/>
      <c r="D869" s="14"/>
      <c r="E869" s="14"/>
      <c r="F869" s="14"/>
      <c r="G869" s="14"/>
      <c r="H869" s="14"/>
      <c r="I869" s="17"/>
      <c r="J869" s="17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>
      <c r="A870" s="14"/>
      <c r="B870" s="14"/>
      <c r="C870" s="16"/>
      <c r="D870" s="14"/>
      <c r="E870" s="14"/>
      <c r="F870" s="14"/>
      <c r="G870" s="14"/>
      <c r="H870" s="14"/>
      <c r="I870" s="17"/>
      <c r="J870" s="17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>
      <c r="A871" s="14"/>
      <c r="B871" s="14"/>
      <c r="C871" s="16"/>
      <c r="D871" s="14"/>
      <c r="E871" s="14"/>
      <c r="F871" s="14"/>
      <c r="G871" s="14"/>
      <c r="H871" s="14"/>
      <c r="I871" s="17"/>
      <c r="J871" s="17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>
      <c r="A872" s="14"/>
      <c r="B872" s="14"/>
      <c r="C872" s="16"/>
      <c r="D872" s="14"/>
      <c r="E872" s="14"/>
      <c r="F872" s="14"/>
      <c r="G872" s="14"/>
      <c r="H872" s="14"/>
      <c r="I872" s="17"/>
      <c r="J872" s="17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>
      <c r="A873" s="14"/>
      <c r="B873" s="14"/>
      <c r="C873" s="16"/>
      <c r="D873" s="14"/>
      <c r="E873" s="14"/>
      <c r="F873" s="14"/>
      <c r="G873" s="14"/>
      <c r="H873" s="14"/>
      <c r="I873" s="17"/>
      <c r="J873" s="17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>
      <c r="A874" s="14"/>
      <c r="B874" s="14"/>
      <c r="C874" s="16"/>
      <c r="D874" s="14"/>
      <c r="E874" s="14"/>
      <c r="F874" s="14"/>
      <c r="G874" s="14"/>
      <c r="H874" s="14"/>
      <c r="I874" s="17"/>
      <c r="J874" s="17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>
      <c r="A875" s="14"/>
      <c r="B875" s="14"/>
      <c r="C875" s="16"/>
      <c r="D875" s="14"/>
      <c r="E875" s="14"/>
      <c r="F875" s="14"/>
      <c r="G875" s="14"/>
      <c r="H875" s="14"/>
      <c r="I875" s="17"/>
      <c r="J875" s="17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>
      <c r="A876" s="14"/>
      <c r="B876" s="14"/>
      <c r="C876" s="16"/>
      <c r="D876" s="14"/>
      <c r="E876" s="14"/>
      <c r="F876" s="14"/>
      <c r="G876" s="14"/>
      <c r="H876" s="14"/>
      <c r="I876" s="17"/>
      <c r="J876" s="17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>
      <c r="A877" s="14"/>
      <c r="B877" s="14"/>
      <c r="C877" s="16"/>
      <c r="D877" s="14"/>
      <c r="E877" s="14"/>
      <c r="F877" s="14"/>
      <c r="G877" s="14"/>
      <c r="H877" s="14"/>
      <c r="I877" s="17"/>
      <c r="J877" s="17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>
      <c r="A878" s="14"/>
      <c r="B878" s="14"/>
      <c r="C878" s="16"/>
      <c r="D878" s="14"/>
      <c r="E878" s="14"/>
      <c r="F878" s="14"/>
      <c r="G878" s="14"/>
      <c r="H878" s="14"/>
      <c r="I878" s="17"/>
      <c r="J878" s="17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>
      <c r="A879" s="14"/>
      <c r="B879" s="14"/>
      <c r="C879" s="16"/>
      <c r="D879" s="14"/>
      <c r="E879" s="14"/>
      <c r="F879" s="14"/>
      <c r="G879" s="14"/>
      <c r="H879" s="14"/>
      <c r="I879" s="17"/>
      <c r="J879" s="17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>
      <c r="A880" s="14"/>
      <c r="B880" s="14"/>
      <c r="C880" s="16"/>
      <c r="D880" s="14"/>
      <c r="E880" s="14"/>
      <c r="F880" s="14"/>
      <c r="G880" s="14"/>
      <c r="H880" s="14"/>
      <c r="I880" s="17"/>
      <c r="J880" s="17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>
      <c r="A881" s="14"/>
      <c r="B881" s="14"/>
      <c r="C881" s="16"/>
      <c r="D881" s="14"/>
      <c r="E881" s="14"/>
      <c r="F881" s="14"/>
      <c r="G881" s="14"/>
      <c r="H881" s="14"/>
      <c r="I881" s="17"/>
      <c r="J881" s="17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>
      <c r="A882" s="14"/>
      <c r="B882" s="14"/>
      <c r="C882" s="16"/>
      <c r="D882" s="14"/>
      <c r="E882" s="14"/>
      <c r="F882" s="14"/>
      <c r="G882" s="14"/>
      <c r="H882" s="14"/>
      <c r="I882" s="17"/>
      <c r="J882" s="17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>
      <c r="A883" s="14"/>
      <c r="B883" s="14"/>
      <c r="C883" s="16"/>
      <c r="D883" s="14"/>
      <c r="E883" s="14"/>
      <c r="F883" s="14"/>
      <c r="G883" s="14"/>
      <c r="H883" s="14"/>
      <c r="I883" s="17"/>
      <c r="J883" s="17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>
      <c r="A884" s="14"/>
      <c r="B884" s="14"/>
      <c r="C884" s="16"/>
      <c r="D884" s="14"/>
      <c r="E884" s="14"/>
      <c r="F884" s="14"/>
      <c r="G884" s="14"/>
      <c r="H884" s="14"/>
      <c r="I884" s="17"/>
      <c r="J884" s="17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>
      <c r="A885" s="14"/>
      <c r="B885" s="14"/>
      <c r="C885" s="16"/>
      <c r="D885" s="14"/>
      <c r="E885" s="14"/>
      <c r="F885" s="14"/>
      <c r="G885" s="14"/>
      <c r="H885" s="14"/>
      <c r="I885" s="17"/>
      <c r="J885" s="17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>
      <c r="A886" s="14"/>
      <c r="B886" s="14"/>
      <c r="C886" s="16"/>
      <c r="D886" s="14"/>
      <c r="E886" s="14"/>
      <c r="F886" s="14"/>
      <c r="G886" s="14"/>
      <c r="H886" s="14"/>
      <c r="I886" s="17"/>
      <c r="J886" s="17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>
      <c r="A887" s="14"/>
      <c r="B887" s="14"/>
      <c r="C887" s="16"/>
      <c r="D887" s="14"/>
      <c r="E887" s="14"/>
      <c r="F887" s="14"/>
      <c r="G887" s="14"/>
      <c r="H887" s="14"/>
      <c r="I887" s="17"/>
      <c r="J887" s="17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>
      <c r="A888" s="14"/>
      <c r="B888" s="14"/>
      <c r="C888" s="16"/>
      <c r="D888" s="14"/>
      <c r="E888" s="14"/>
      <c r="F888" s="14"/>
      <c r="G888" s="14"/>
      <c r="H888" s="14"/>
      <c r="I888" s="17"/>
      <c r="J888" s="17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>
      <c r="A889" s="14"/>
      <c r="B889" s="14"/>
      <c r="C889" s="16"/>
      <c r="D889" s="14"/>
      <c r="E889" s="14"/>
      <c r="F889" s="14"/>
      <c r="G889" s="14"/>
      <c r="H889" s="14"/>
      <c r="I889" s="17"/>
      <c r="J889" s="17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>
      <c r="A890" s="14"/>
      <c r="B890" s="14"/>
      <c r="C890" s="16"/>
      <c r="D890" s="14"/>
      <c r="E890" s="14"/>
      <c r="F890" s="14"/>
      <c r="G890" s="14"/>
      <c r="H890" s="14"/>
      <c r="I890" s="17"/>
      <c r="J890" s="17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>
      <c r="A891" s="14"/>
      <c r="B891" s="14"/>
      <c r="C891" s="16"/>
      <c r="D891" s="14"/>
      <c r="E891" s="14"/>
      <c r="F891" s="14"/>
      <c r="G891" s="14"/>
      <c r="H891" s="14"/>
      <c r="I891" s="17"/>
      <c r="J891" s="17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>
      <c r="A892" s="14"/>
      <c r="B892" s="14"/>
      <c r="C892" s="16"/>
      <c r="D892" s="14"/>
      <c r="E892" s="14"/>
      <c r="F892" s="14"/>
      <c r="G892" s="14"/>
      <c r="H892" s="14"/>
      <c r="I892" s="17"/>
      <c r="J892" s="17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>
      <c r="A893" s="14"/>
      <c r="B893" s="14"/>
      <c r="C893" s="16"/>
      <c r="D893" s="14"/>
      <c r="E893" s="14"/>
      <c r="F893" s="14"/>
      <c r="G893" s="14"/>
      <c r="H893" s="14"/>
      <c r="I893" s="17"/>
      <c r="J893" s="17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>
      <c r="A894" s="14"/>
      <c r="B894" s="14"/>
      <c r="C894" s="16"/>
      <c r="D894" s="14"/>
      <c r="E894" s="14"/>
      <c r="F894" s="14"/>
      <c r="G894" s="14"/>
      <c r="H894" s="14"/>
      <c r="I894" s="17"/>
      <c r="J894" s="17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>
      <c r="A895" s="14"/>
      <c r="B895" s="14"/>
      <c r="C895" s="16"/>
      <c r="D895" s="14"/>
      <c r="E895" s="14"/>
      <c r="F895" s="14"/>
      <c r="G895" s="14"/>
      <c r="H895" s="14"/>
      <c r="I895" s="17"/>
      <c r="J895" s="17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>
      <c r="A896" s="14"/>
      <c r="B896" s="14"/>
      <c r="C896" s="16"/>
      <c r="D896" s="14"/>
      <c r="E896" s="14"/>
      <c r="F896" s="14"/>
      <c r="G896" s="14"/>
      <c r="H896" s="14"/>
      <c r="I896" s="17"/>
      <c r="J896" s="17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>
      <c r="A897" s="14"/>
      <c r="B897" s="14"/>
      <c r="C897" s="16"/>
      <c r="D897" s="14"/>
      <c r="E897" s="14"/>
      <c r="F897" s="14"/>
      <c r="G897" s="14"/>
      <c r="H897" s="14"/>
      <c r="I897" s="17"/>
      <c r="J897" s="17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>
      <c r="A898" s="14"/>
      <c r="B898" s="14"/>
      <c r="C898" s="16"/>
      <c r="D898" s="14"/>
      <c r="E898" s="14"/>
      <c r="F898" s="14"/>
      <c r="G898" s="14"/>
      <c r="H898" s="14"/>
      <c r="I898" s="17"/>
      <c r="J898" s="17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>
      <c r="A899" s="14"/>
      <c r="B899" s="14"/>
      <c r="C899" s="16"/>
      <c r="D899" s="14"/>
      <c r="E899" s="14"/>
      <c r="F899" s="14"/>
      <c r="G899" s="14"/>
      <c r="H899" s="14"/>
      <c r="I899" s="17"/>
      <c r="J899" s="17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>
      <c r="A900" s="14"/>
      <c r="B900" s="14"/>
      <c r="C900" s="16"/>
      <c r="D900" s="14"/>
      <c r="E900" s="14"/>
      <c r="F900" s="14"/>
      <c r="G900" s="14"/>
      <c r="H900" s="14"/>
      <c r="I900" s="17"/>
      <c r="J900" s="17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>
      <c r="A901" s="14"/>
      <c r="B901" s="14"/>
      <c r="C901" s="16"/>
      <c r="D901" s="14"/>
      <c r="E901" s="14"/>
      <c r="F901" s="14"/>
      <c r="G901" s="14"/>
      <c r="H901" s="14"/>
      <c r="I901" s="17"/>
      <c r="J901" s="17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>
      <c r="A902" s="14"/>
      <c r="B902" s="14"/>
      <c r="C902" s="16"/>
      <c r="D902" s="14"/>
      <c r="E902" s="14"/>
      <c r="F902" s="14"/>
      <c r="G902" s="14"/>
      <c r="H902" s="14"/>
      <c r="I902" s="17"/>
      <c r="J902" s="17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>
      <c r="A903" s="14"/>
      <c r="B903" s="14"/>
      <c r="C903" s="16"/>
      <c r="D903" s="14"/>
      <c r="E903" s="14"/>
      <c r="F903" s="14"/>
      <c r="G903" s="14"/>
      <c r="H903" s="14"/>
      <c r="I903" s="17"/>
      <c r="J903" s="17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>
      <c r="A904" s="14"/>
      <c r="B904" s="14"/>
      <c r="C904" s="16"/>
      <c r="D904" s="14"/>
      <c r="E904" s="14"/>
      <c r="F904" s="14"/>
      <c r="G904" s="14"/>
      <c r="H904" s="14"/>
      <c r="I904" s="17"/>
      <c r="J904" s="17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>
      <c r="A905" s="14"/>
      <c r="B905" s="14"/>
      <c r="C905" s="16"/>
      <c r="D905" s="14"/>
      <c r="E905" s="14"/>
      <c r="F905" s="14"/>
      <c r="G905" s="14"/>
      <c r="H905" s="14"/>
      <c r="I905" s="17"/>
      <c r="J905" s="17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>
      <c r="A906" s="14"/>
      <c r="B906" s="14"/>
      <c r="C906" s="16"/>
      <c r="D906" s="14"/>
      <c r="E906" s="14"/>
      <c r="F906" s="14"/>
      <c r="G906" s="14"/>
      <c r="H906" s="14"/>
      <c r="I906" s="17"/>
      <c r="J906" s="17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>
      <c r="A907" s="14"/>
      <c r="B907" s="14"/>
      <c r="C907" s="16"/>
      <c r="D907" s="14"/>
      <c r="E907" s="14"/>
      <c r="F907" s="14"/>
      <c r="G907" s="14"/>
      <c r="H907" s="14"/>
      <c r="I907" s="17"/>
      <c r="J907" s="17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>
      <c r="A908" s="14"/>
      <c r="B908" s="14"/>
      <c r="C908" s="16"/>
      <c r="D908" s="14"/>
      <c r="E908" s="14"/>
      <c r="F908" s="14"/>
      <c r="G908" s="14"/>
      <c r="H908" s="14"/>
      <c r="I908" s="17"/>
      <c r="J908" s="17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>
      <c r="A909" s="14"/>
      <c r="B909" s="14"/>
      <c r="C909" s="16"/>
      <c r="D909" s="14"/>
      <c r="E909" s="14"/>
      <c r="F909" s="14"/>
      <c r="G909" s="14"/>
      <c r="H909" s="14"/>
      <c r="I909" s="17"/>
      <c r="J909" s="17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>
      <c r="A910" s="14"/>
      <c r="B910" s="14"/>
      <c r="C910" s="16"/>
      <c r="D910" s="14"/>
      <c r="E910" s="14"/>
      <c r="F910" s="14"/>
      <c r="G910" s="14"/>
      <c r="H910" s="14"/>
      <c r="I910" s="17"/>
      <c r="J910" s="17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>
      <c r="A911" s="14"/>
      <c r="B911" s="14"/>
      <c r="C911" s="16"/>
      <c r="D911" s="14"/>
      <c r="E911" s="14"/>
      <c r="F911" s="14"/>
      <c r="G911" s="14"/>
      <c r="H911" s="14"/>
      <c r="I911" s="17"/>
      <c r="J911" s="17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>
      <c r="A912" s="14"/>
      <c r="B912" s="14"/>
      <c r="C912" s="16"/>
      <c r="D912" s="14"/>
      <c r="E912" s="14"/>
      <c r="F912" s="14"/>
      <c r="G912" s="14"/>
      <c r="H912" s="14"/>
      <c r="I912" s="17"/>
      <c r="J912" s="17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>
      <c r="A913" s="14"/>
      <c r="B913" s="14"/>
      <c r="C913" s="16"/>
      <c r="D913" s="14"/>
      <c r="E913" s="14"/>
      <c r="F913" s="14"/>
      <c r="G913" s="14"/>
      <c r="H913" s="14"/>
      <c r="I913" s="17"/>
      <c r="J913" s="17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>
      <c r="A914" s="14"/>
      <c r="B914" s="14"/>
      <c r="C914" s="16"/>
      <c r="D914" s="14"/>
      <c r="E914" s="14"/>
      <c r="F914" s="14"/>
      <c r="G914" s="14"/>
      <c r="H914" s="14"/>
      <c r="I914" s="17"/>
      <c r="J914" s="17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>
      <c r="A915" s="14"/>
      <c r="B915" s="14"/>
      <c r="C915" s="16"/>
      <c r="D915" s="14"/>
      <c r="E915" s="14"/>
      <c r="F915" s="14"/>
      <c r="G915" s="14"/>
      <c r="H915" s="14"/>
      <c r="I915" s="17"/>
      <c r="J915" s="17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>
      <c r="A916" s="14"/>
      <c r="B916" s="14"/>
      <c r="C916" s="16"/>
      <c r="D916" s="14"/>
      <c r="E916" s="14"/>
      <c r="F916" s="14"/>
      <c r="G916" s="14"/>
      <c r="H916" s="14"/>
      <c r="I916" s="17"/>
      <c r="J916" s="17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>
      <c r="A917" s="14"/>
      <c r="B917" s="14"/>
      <c r="C917" s="16"/>
      <c r="D917" s="14"/>
      <c r="E917" s="14"/>
      <c r="F917" s="14"/>
      <c r="G917" s="14"/>
      <c r="H917" s="14"/>
      <c r="I917" s="17"/>
      <c r="J917" s="17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>
      <c r="A918" s="14"/>
      <c r="B918" s="14"/>
      <c r="C918" s="16"/>
      <c r="D918" s="14"/>
      <c r="E918" s="14"/>
      <c r="F918" s="14"/>
      <c r="G918" s="14"/>
      <c r="H918" s="14"/>
      <c r="I918" s="17"/>
      <c r="J918" s="17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>
      <c r="A919" s="14"/>
      <c r="B919" s="14"/>
      <c r="C919" s="16"/>
      <c r="D919" s="14"/>
      <c r="E919" s="14"/>
      <c r="F919" s="14"/>
      <c r="G919" s="14"/>
      <c r="H919" s="14"/>
      <c r="I919" s="17"/>
      <c r="J919" s="17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>
      <c r="A920" s="14"/>
      <c r="B920" s="14"/>
      <c r="C920" s="16"/>
      <c r="D920" s="14"/>
      <c r="E920" s="14"/>
      <c r="F920" s="14"/>
      <c r="G920" s="14"/>
      <c r="H920" s="14"/>
      <c r="I920" s="17"/>
      <c r="J920" s="17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>
      <c r="A921" s="14"/>
      <c r="B921" s="14"/>
      <c r="C921" s="16"/>
      <c r="D921" s="14"/>
      <c r="E921" s="14"/>
      <c r="F921" s="14"/>
      <c r="G921" s="14"/>
      <c r="H921" s="14"/>
      <c r="I921" s="17"/>
      <c r="J921" s="17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>
      <c r="A922" s="14"/>
      <c r="B922" s="14"/>
      <c r="C922" s="16"/>
      <c r="D922" s="14"/>
      <c r="E922" s="14"/>
      <c r="F922" s="14"/>
      <c r="G922" s="14"/>
      <c r="H922" s="14"/>
      <c r="I922" s="17"/>
      <c r="J922" s="17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>
      <c r="A923" s="14"/>
      <c r="B923" s="14"/>
      <c r="C923" s="16"/>
      <c r="D923" s="14"/>
      <c r="E923" s="14"/>
      <c r="F923" s="14"/>
      <c r="G923" s="14"/>
      <c r="H923" s="14"/>
      <c r="I923" s="17"/>
      <c r="J923" s="17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>
      <c r="A924" s="14"/>
      <c r="B924" s="14"/>
      <c r="C924" s="16"/>
      <c r="D924" s="14"/>
      <c r="E924" s="14"/>
      <c r="F924" s="14"/>
      <c r="G924" s="14"/>
      <c r="H924" s="14"/>
      <c r="I924" s="17"/>
      <c r="J924" s="17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>
      <c r="A925" s="14"/>
      <c r="B925" s="14"/>
      <c r="C925" s="16"/>
      <c r="D925" s="14"/>
      <c r="E925" s="14"/>
      <c r="F925" s="14"/>
      <c r="G925" s="14"/>
      <c r="H925" s="14"/>
      <c r="I925" s="17"/>
      <c r="J925" s="17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>
      <c r="A926" s="14"/>
      <c r="B926" s="14"/>
      <c r="C926" s="16"/>
      <c r="D926" s="14"/>
      <c r="E926" s="14"/>
      <c r="F926" s="14"/>
      <c r="G926" s="14"/>
      <c r="H926" s="14"/>
      <c r="I926" s="17"/>
      <c r="J926" s="17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>
      <c r="A927" s="14"/>
      <c r="B927" s="14"/>
      <c r="C927" s="16"/>
      <c r="D927" s="14"/>
      <c r="E927" s="14"/>
      <c r="F927" s="14"/>
      <c r="G927" s="14"/>
      <c r="H927" s="14"/>
      <c r="I927" s="17"/>
      <c r="J927" s="17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>
      <c r="A928" s="14"/>
      <c r="B928" s="14"/>
      <c r="C928" s="16"/>
      <c r="D928" s="14"/>
      <c r="E928" s="14"/>
      <c r="F928" s="14"/>
      <c r="G928" s="14"/>
      <c r="H928" s="14"/>
      <c r="I928" s="17"/>
      <c r="J928" s="17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>
      <c r="A929" s="14"/>
      <c r="B929" s="14"/>
      <c r="C929" s="16"/>
      <c r="D929" s="14"/>
      <c r="E929" s="14"/>
      <c r="F929" s="14"/>
      <c r="G929" s="14"/>
      <c r="H929" s="14"/>
      <c r="I929" s="17"/>
      <c r="J929" s="17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>
      <c r="A930" s="14"/>
      <c r="B930" s="14"/>
      <c r="C930" s="16"/>
      <c r="D930" s="14"/>
      <c r="E930" s="14"/>
      <c r="F930" s="14"/>
      <c r="G930" s="14"/>
      <c r="H930" s="14"/>
      <c r="I930" s="17"/>
      <c r="J930" s="17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>
      <c r="A931" s="14"/>
      <c r="B931" s="14"/>
      <c r="C931" s="16"/>
      <c r="D931" s="14"/>
      <c r="E931" s="14"/>
      <c r="F931" s="14"/>
      <c r="G931" s="14"/>
      <c r="H931" s="14"/>
      <c r="I931" s="17"/>
      <c r="J931" s="17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>
      <c r="A932" s="14"/>
      <c r="B932" s="14"/>
      <c r="C932" s="16"/>
      <c r="D932" s="14"/>
      <c r="E932" s="14"/>
      <c r="F932" s="14"/>
      <c r="G932" s="14"/>
      <c r="H932" s="14"/>
      <c r="I932" s="17"/>
      <c r="J932" s="17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>
      <c r="A933" s="14"/>
      <c r="B933" s="14"/>
      <c r="C933" s="16"/>
      <c r="D933" s="14"/>
      <c r="E933" s="14"/>
      <c r="F933" s="14"/>
      <c r="G933" s="14"/>
      <c r="H933" s="14"/>
      <c r="I933" s="17"/>
      <c r="J933" s="17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>
      <c r="A934" s="14"/>
      <c r="B934" s="14"/>
      <c r="C934" s="16"/>
      <c r="D934" s="14"/>
      <c r="E934" s="14"/>
      <c r="F934" s="14"/>
      <c r="G934" s="14"/>
      <c r="H934" s="14"/>
      <c r="I934" s="17"/>
      <c r="J934" s="17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>
      <c r="A935" s="14"/>
      <c r="B935" s="14"/>
      <c r="C935" s="16"/>
      <c r="D935" s="14"/>
      <c r="E935" s="14"/>
      <c r="F935" s="14"/>
      <c r="G935" s="14"/>
      <c r="H935" s="14"/>
      <c r="I935" s="17"/>
      <c r="J935" s="17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>
      <c r="A936" s="14"/>
      <c r="B936" s="14"/>
      <c r="C936" s="16"/>
      <c r="D936" s="14"/>
      <c r="E936" s="14"/>
      <c r="F936" s="14"/>
      <c r="G936" s="14"/>
      <c r="H936" s="14"/>
      <c r="I936" s="17"/>
      <c r="J936" s="17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>
      <c r="A937" s="14"/>
      <c r="B937" s="14"/>
      <c r="C937" s="16"/>
      <c r="D937" s="14"/>
      <c r="E937" s="14"/>
      <c r="F937" s="14"/>
      <c r="G937" s="14"/>
      <c r="H937" s="14"/>
      <c r="I937" s="17"/>
      <c r="J937" s="17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>
      <c r="A938" s="14"/>
      <c r="B938" s="14"/>
      <c r="C938" s="16"/>
      <c r="D938" s="14"/>
      <c r="E938" s="14"/>
      <c r="F938" s="14"/>
      <c r="G938" s="14"/>
      <c r="H938" s="14"/>
      <c r="I938" s="17"/>
      <c r="J938" s="17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>
      <c r="A939" s="14"/>
      <c r="B939" s="14"/>
      <c r="C939" s="16"/>
      <c r="D939" s="14"/>
      <c r="E939" s="14"/>
      <c r="F939" s="14"/>
      <c r="G939" s="14"/>
      <c r="H939" s="14"/>
      <c r="I939" s="17"/>
      <c r="J939" s="17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>
      <c r="A940" s="14"/>
      <c r="B940" s="14"/>
      <c r="C940" s="16"/>
      <c r="D940" s="14"/>
      <c r="E940" s="14"/>
      <c r="F940" s="14"/>
      <c r="G940" s="14"/>
      <c r="H940" s="14"/>
      <c r="I940" s="17"/>
      <c r="J940" s="17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>
      <c r="A941" s="14"/>
      <c r="B941" s="14"/>
      <c r="C941" s="16"/>
      <c r="D941" s="14"/>
      <c r="E941" s="14"/>
      <c r="F941" s="14"/>
      <c r="G941" s="14"/>
      <c r="H941" s="14"/>
      <c r="I941" s="17"/>
      <c r="J941" s="17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>
      <c r="A942" s="14"/>
      <c r="B942" s="14"/>
      <c r="C942" s="16"/>
      <c r="D942" s="14"/>
      <c r="E942" s="14"/>
      <c r="F942" s="14"/>
      <c r="G942" s="14"/>
      <c r="H942" s="14"/>
      <c r="I942" s="17"/>
      <c r="J942" s="17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>
      <c r="A943" s="14"/>
      <c r="B943" s="14"/>
      <c r="C943" s="16"/>
      <c r="D943" s="14"/>
      <c r="E943" s="14"/>
      <c r="F943" s="14"/>
      <c r="G943" s="14"/>
      <c r="H943" s="14"/>
      <c r="I943" s="17"/>
      <c r="J943" s="17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>
      <c r="A944" s="14"/>
      <c r="B944" s="14"/>
      <c r="C944" s="16"/>
      <c r="D944" s="14"/>
      <c r="E944" s="14"/>
      <c r="F944" s="14"/>
      <c r="G944" s="14"/>
      <c r="H944" s="14"/>
      <c r="I944" s="17"/>
      <c r="J944" s="17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>
      <c r="A945" s="14"/>
      <c r="B945" s="14"/>
      <c r="C945" s="16"/>
      <c r="D945" s="14"/>
      <c r="E945" s="14"/>
      <c r="F945" s="14"/>
      <c r="G945" s="14"/>
      <c r="H945" s="14"/>
      <c r="I945" s="17"/>
      <c r="J945" s="17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>
      <c r="A946" s="14"/>
      <c r="B946" s="14"/>
      <c r="C946" s="16"/>
      <c r="D946" s="14"/>
      <c r="E946" s="14"/>
      <c r="F946" s="14"/>
      <c r="G946" s="14"/>
      <c r="H946" s="14"/>
      <c r="I946" s="17"/>
      <c r="J946" s="17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>
      <c r="A947" s="14"/>
      <c r="B947" s="14"/>
      <c r="C947" s="16"/>
      <c r="D947" s="14"/>
      <c r="E947" s="14"/>
      <c r="F947" s="14"/>
      <c r="G947" s="14"/>
      <c r="H947" s="14"/>
      <c r="I947" s="17"/>
      <c r="J947" s="17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>
      <c r="A948" s="14"/>
      <c r="B948" s="14"/>
      <c r="C948" s="16"/>
      <c r="D948" s="14"/>
      <c r="E948" s="14"/>
      <c r="F948" s="14"/>
      <c r="G948" s="14"/>
      <c r="H948" s="14"/>
      <c r="I948" s="17"/>
      <c r="J948" s="17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>
      <c r="A949" s="14"/>
      <c r="B949" s="14"/>
      <c r="C949" s="16"/>
      <c r="D949" s="14"/>
      <c r="E949" s="14"/>
      <c r="F949" s="14"/>
      <c r="G949" s="14"/>
      <c r="H949" s="14"/>
      <c r="I949" s="17"/>
      <c r="J949" s="17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>
      <c r="A950" s="14"/>
      <c r="B950" s="14"/>
      <c r="C950" s="16"/>
      <c r="D950" s="14"/>
      <c r="E950" s="14"/>
      <c r="F950" s="14"/>
      <c r="G950" s="14"/>
      <c r="H950" s="14"/>
      <c r="I950" s="17"/>
      <c r="J950" s="17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>
      <c r="A951" s="14"/>
      <c r="B951" s="14"/>
      <c r="C951" s="16"/>
      <c r="D951" s="14"/>
      <c r="E951" s="14"/>
      <c r="F951" s="14"/>
      <c r="G951" s="14"/>
      <c r="H951" s="14"/>
      <c r="I951" s="17"/>
      <c r="J951" s="17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>
      <c r="A952" s="14"/>
      <c r="B952" s="14"/>
      <c r="C952" s="16"/>
      <c r="D952" s="14"/>
      <c r="E952" s="14"/>
      <c r="F952" s="14"/>
      <c r="G952" s="14"/>
      <c r="H952" s="14"/>
      <c r="I952" s="17"/>
      <c r="J952" s="17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>
      <c r="A953" s="14"/>
      <c r="B953" s="14"/>
      <c r="C953" s="16"/>
      <c r="D953" s="14"/>
      <c r="E953" s="14"/>
      <c r="F953" s="14"/>
      <c r="G953" s="14"/>
      <c r="H953" s="14"/>
      <c r="I953" s="17"/>
      <c r="J953" s="17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>
      <c r="A954" s="14"/>
      <c r="B954" s="14"/>
      <c r="C954" s="16"/>
      <c r="D954" s="14"/>
      <c r="E954" s="14"/>
      <c r="F954" s="14"/>
      <c r="G954" s="14"/>
      <c r="H954" s="14"/>
      <c r="I954" s="17"/>
      <c r="J954" s="17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>
      <c r="A955" s="14"/>
      <c r="B955" s="14"/>
      <c r="C955" s="16"/>
      <c r="D955" s="14"/>
      <c r="E955" s="14"/>
      <c r="F955" s="14"/>
      <c r="G955" s="14"/>
      <c r="H955" s="14"/>
      <c r="I955" s="17"/>
      <c r="J955" s="17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>
      <c r="A956" s="14"/>
      <c r="B956" s="14"/>
      <c r="C956" s="16"/>
      <c r="D956" s="14"/>
      <c r="E956" s="14"/>
      <c r="F956" s="14"/>
      <c r="G956" s="14"/>
      <c r="H956" s="14"/>
      <c r="I956" s="17"/>
      <c r="J956" s="17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>
      <c r="A957" s="14"/>
      <c r="B957" s="14"/>
      <c r="C957" s="16"/>
      <c r="D957" s="14"/>
      <c r="E957" s="14"/>
      <c r="F957" s="14"/>
      <c r="G957" s="14"/>
      <c r="H957" s="14"/>
      <c r="I957" s="17"/>
      <c r="J957" s="17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>
      <c r="A958" s="14"/>
      <c r="B958" s="14"/>
      <c r="C958" s="16"/>
      <c r="D958" s="14"/>
      <c r="E958" s="14"/>
      <c r="F958" s="14"/>
      <c r="G958" s="14"/>
      <c r="H958" s="14"/>
      <c r="I958" s="17"/>
      <c r="J958" s="17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>
      <c r="A959" s="14"/>
      <c r="B959" s="14"/>
      <c r="C959" s="16"/>
      <c r="D959" s="14"/>
      <c r="E959" s="14"/>
      <c r="F959" s="14"/>
      <c r="G959" s="14"/>
      <c r="H959" s="14"/>
      <c r="I959" s="17"/>
      <c r="J959" s="17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>
      <c r="A960" s="14"/>
      <c r="B960" s="14"/>
      <c r="C960" s="16"/>
      <c r="D960" s="14"/>
      <c r="E960" s="14"/>
      <c r="F960" s="14"/>
      <c r="G960" s="14"/>
      <c r="H960" s="14"/>
      <c r="I960" s="17"/>
      <c r="J960" s="17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>
      <c r="A961" s="14"/>
      <c r="B961" s="14"/>
      <c r="C961" s="16"/>
      <c r="D961" s="14"/>
      <c r="E961" s="14"/>
      <c r="F961" s="14"/>
      <c r="G961" s="14"/>
      <c r="H961" s="14"/>
      <c r="I961" s="17"/>
      <c r="J961" s="17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>
      <c r="A962" s="14"/>
      <c r="B962" s="14"/>
      <c r="C962" s="16"/>
      <c r="D962" s="14"/>
      <c r="E962" s="14"/>
      <c r="F962" s="14"/>
      <c r="G962" s="14"/>
      <c r="H962" s="14"/>
      <c r="I962" s="17"/>
      <c r="J962" s="17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>
      <c r="A963" s="14"/>
      <c r="B963" s="14"/>
      <c r="C963" s="16"/>
      <c r="D963" s="14"/>
      <c r="E963" s="14"/>
      <c r="F963" s="14"/>
      <c r="G963" s="14"/>
      <c r="H963" s="14"/>
      <c r="I963" s="17"/>
      <c r="J963" s="17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>
      <c r="A964" s="14"/>
      <c r="B964" s="14"/>
      <c r="C964" s="16"/>
      <c r="D964" s="14"/>
      <c r="E964" s="14"/>
      <c r="F964" s="14"/>
      <c r="G964" s="14"/>
      <c r="H964" s="14"/>
      <c r="I964" s="17"/>
      <c r="J964" s="17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>
      <c r="A965" s="14"/>
      <c r="B965" s="14"/>
      <c r="C965" s="16"/>
      <c r="D965" s="14"/>
      <c r="E965" s="14"/>
      <c r="F965" s="14"/>
      <c r="G965" s="14"/>
      <c r="H965" s="14"/>
      <c r="I965" s="17"/>
      <c r="J965" s="17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>
      <c r="A966" s="14"/>
      <c r="B966" s="14"/>
      <c r="C966" s="16"/>
      <c r="D966" s="14"/>
      <c r="E966" s="14"/>
      <c r="F966" s="14"/>
      <c r="G966" s="14"/>
      <c r="H966" s="14"/>
      <c r="I966" s="17"/>
      <c r="J966" s="17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>
      <c r="A967" s="14"/>
      <c r="B967" s="14"/>
      <c r="C967" s="16"/>
      <c r="D967" s="14"/>
      <c r="E967" s="14"/>
      <c r="F967" s="14"/>
      <c r="G967" s="14"/>
      <c r="H967" s="14"/>
      <c r="I967" s="17"/>
      <c r="J967" s="17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>
      <c r="A968" s="14"/>
      <c r="B968" s="14"/>
      <c r="C968" s="16"/>
      <c r="D968" s="14"/>
      <c r="E968" s="14"/>
      <c r="F968" s="14"/>
      <c r="G968" s="14"/>
      <c r="H968" s="14"/>
      <c r="I968" s="17"/>
      <c r="J968" s="17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>
      <c r="A969" s="14"/>
      <c r="B969" s="14"/>
      <c r="C969" s="16"/>
      <c r="D969" s="14"/>
      <c r="E969" s="14"/>
      <c r="F969" s="14"/>
      <c r="G969" s="14"/>
      <c r="H969" s="14"/>
      <c r="I969" s="17"/>
      <c r="J969" s="17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>
      <c r="A970" s="14"/>
      <c r="B970" s="14"/>
      <c r="C970" s="16"/>
      <c r="D970" s="14"/>
      <c r="E970" s="14"/>
      <c r="F970" s="14"/>
      <c r="G970" s="14"/>
      <c r="H970" s="14"/>
      <c r="I970" s="17"/>
      <c r="J970" s="17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>
      <c r="A971" s="14"/>
      <c r="B971" s="14"/>
      <c r="C971" s="16"/>
      <c r="D971" s="14"/>
      <c r="E971" s="14"/>
      <c r="F971" s="14"/>
      <c r="G971" s="14"/>
      <c r="H971" s="14"/>
      <c r="I971" s="17"/>
      <c r="J971" s="17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>
      <c r="A972" s="14"/>
      <c r="B972" s="14"/>
      <c r="C972" s="16"/>
      <c r="D972" s="14"/>
      <c r="E972" s="14"/>
      <c r="F972" s="14"/>
      <c r="G972" s="14"/>
      <c r="H972" s="14"/>
      <c r="I972" s="17"/>
      <c r="J972" s="17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>
      <c r="A973" s="14"/>
      <c r="B973" s="14"/>
      <c r="C973" s="16"/>
      <c r="D973" s="14"/>
      <c r="E973" s="14"/>
      <c r="F973" s="14"/>
      <c r="G973" s="14"/>
      <c r="H973" s="14"/>
      <c r="I973" s="17"/>
      <c r="J973" s="17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>
      <c r="A974" s="14"/>
      <c r="B974" s="14"/>
      <c r="C974" s="16"/>
      <c r="D974" s="14"/>
      <c r="E974" s="14"/>
      <c r="F974" s="14"/>
      <c r="G974" s="14"/>
      <c r="H974" s="14"/>
      <c r="I974" s="17"/>
      <c r="J974" s="17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>
      <c r="A975" s="14"/>
      <c r="B975" s="14"/>
      <c r="C975" s="16"/>
      <c r="D975" s="14"/>
      <c r="E975" s="14"/>
      <c r="F975" s="14"/>
      <c r="G975" s="14"/>
      <c r="H975" s="14"/>
      <c r="I975" s="17"/>
      <c r="J975" s="17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>
      <c r="A976" s="14"/>
      <c r="B976" s="14"/>
      <c r="C976" s="16"/>
      <c r="D976" s="14"/>
      <c r="E976" s="14"/>
      <c r="F976" s="14"/>
      <c r="G976" s="14"/>
      <c r="H976" s="14"/>
      <c r="I976" s="17"/>
      <c r="J976" s="17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>
      <c r="A977" s="14"/>
      <c r="B977" s="14"/>
      <c r="C977" s="16"/>
      <c r="D977" s="14"/>
      <c r="E977" s="14"/>
      <c r="F977" s="14"/>
      <c r="G977" s="14"/>
      <c r="H977" s="14"/>
      <c r="I977" s="17"/>
      <c r="J977" s="17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>
      <c r="A978" s="14"/>
      <c r="B978" s="14"/>
      <c r="C978" s="16"/>
      <c r="D978" s="14"/>
      <c r="E978" s="14"/>
      <c r="F978" s="14"/>
      <c r="G978" s="14"/>
      <c r="H978" s="14"/>
      <c r="I978" s="17"/>
      <c r="J978" s="17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>
      <c r="A979" s="14"/>
      <c r="B979" s="14"/>
      <c r="C979" s="16"/>
      <c r="D979" s="14"/>
      <c r="E979" s="14"/>
      <c r="F979" s="14"/>
      <c r="G979" s="14"/>
      <c r="H979" s="14"/>
      <c r="I979" s="17"/>
      <c r="J979" s="17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>
      <c r="A980" s="14"/>
      <c r="B980" s="14"/>
      <c r="C980" s="16"/>
      <c r="D980" s="14"/>
      <c r="E980" s="14"/>
      <c r="F980" s="14"/>
      <c r="G980" s="14"/>
      <c r="H980" s="14"/>
      <c r="I980" s="17"/>
      <c r="J980" s="17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>
      <c r="A981" s="14"/>
      <c r="B981" s="14"/>
      <c r="C981" s="16"/>
      <c r="D981" s="14"/>
      <c r="E981" s="14"/>
      <c r="F981" s="14"/>
      <c r="G981" s="14"/>
      <c r="H981" s="14"/>
      <c r="I981" s="17"/>
      <c r="J981" s="17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>
      <c r="A982" s="14"/>
      <c r="B982" s="14"/>
      <c r="C982" s="16"/>
      <c r="D982" s="14"/>
      <c r="E982" s="14"/>
      <c r="F982" s="14"/>
      <c r="G982" s="14"/>
      <c r="H982" s="14"/>
      <c r="I982" s="17"/>
      <c r="J982" s="17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>
      <c r="A983" s="14"/>
      <c r="B983" s="14"/>
      <c r="C983" s="16"/>
      <c r="D983" s="14"/>
      <c r="E983" s="14"/>
      <c r="F983" s="14"/>
      <c r="G983" s="14"/>
      <c r="H983" s="14"/>
      <c r="I983" s="17"/>
      <c r="J983" s="17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>
      <c r="A984" s="14"/>
      <c r="B984" s="14"/>
      <c r="C984" s="16"/>
      <c r="D984" s="14"/>
      <c r="E984" s="14"/>
      <c r="F984" s="14"/>
      <c r="G984" s="14"/>
      <c r="H984" s="14"/>
      <c r="I984" s="17"/>
      <c r="J984" s="17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>
      <c r="A985" s="14"/>
      <c r="B985" s="14"/>
      <c r="C985" s="16"/>
      <c r="D985" s="14"/>
      <c r="E985" s="14"/>
      <c r="F985" s="14"/>
      <c r="G985" s="14"/>
      <c r="H985" s="14"/>
      <c r="I985" s="17"/>
      <c r="J985" s="17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>
      <c r="A986" s="14"/>
      <c r="B986" s="14"/>
      <c r="C986" s="16"/>
      <c r="D986" s="14"/>
      <c r="E986" s="14"/>
      <c r="F986" s="14"/>
      <c r="G986" s="14"/>
      <c r="H986" s="14"/>
      <c r="I986" s="17"/>
      <c r="J986" s="17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>
      <c r="A987" s="14"/>
      <c r="B987" s="14"/>
      <c r="C987" s="16"/>
      <c r="D987" s="14"/>
      <c r="E987" s="14"/>
      <c r="F987" s="14"/>
      <c r="G987" s="14"/>
      <c r="H987" s="14"/>
      <c r="I987" s="17"/>
      <c r="J987" s="17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>
      <c r="A988" s="14"/>
      <c r="B988" s="14"/>
      <c r="C988" s="16"/>
      <c r="D988" s="14"/>
      <c r="E988" s="14"/>
      <c r="F988" s="14"/>
      <c r="G988" s="14"/>
      <c r="H988" s="14"/>
      <c r="I988" s="17"/>
      <c r="J988" s="17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>
      <c r="A989" s="14"/>
      <c r="B989" s="14"/>
      <c r="C989" s="16"/>
      <c r="D989" s="14"/>
      <c r="E989" s="14"/>
      <c r="F989" s="14"/>
      <c r="G989" s="14"/>
      <c r="H989" s="14"/>
      <c r="I989" s="17"/>
      <c r="J989" s="17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>
      <c r="A990" s="14"/>
      <c r="B990" s="14"/>
      <c r="C990" s="16"/>
      <c r="D990" s="14"/>
      <c r="E990" s="14"/>
      <c r="F990" s="14"/>
      <c r="G990" s="14"/>
      <c r="H990" s="14"/>
      <c r="I990" s="17"/>
      <c r="J990" s="17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>
      <c r="A991" s="14"/>
      <c r="B991" s="14"/>
      <c r="C991" s="16"/>
      <c r="D991" s="14"/>
      <c r="E991" s="14"/>
      <c r="F991" s="14"/>
      <c r="G991" s="14"/>
      <c r="H991" s="14"/>
      <c r="I991" s="17"/>
      <c r="J991" s="17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>
      <c r="A992" s="14"/>
      <c r="B992" s="14"/>
      <c r="C992" s="16"/>
      <c r="D992" s="14"/>
      <c r="E992" s="14"/>
      <c r="F992" s="14"/>
      <c r="G992" s="14"/>
      <c r="H992" s="14"/>
      <c r="I992" s="17"/>
      <c r="J992" s="17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>
      <c r="A993" s="14"/>
      <c r="B993" s="14"/>
      <c r="C993" s="16"/>
      <c r="D993" s="14"/>
      <c r="E993" s="14"/>
      <c r="F993" s="14"/>
      <c r="G993" s="14"/>
      <c r="H993" s="14"/>
      <c r="I993" s="17"/>
      <c r="J993" s="17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>
      <c r="A994" s="14"/>
      <c r="B994" s="14"/>
      <c r="C994" s="16"/>
      <c r="D994" s="14"/>
      <c r="E994" s="14"/>
      <c r="F994" s="14"/>
      <c r="G994" s="14"/>
      <c r="H994" s="14"/>
      <c r="I994" s="17"/>
      <c r="J994" s="17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>
      <c r="A995" s="14"/>
      <c r="B995" s="14"/>
      <c r="C995" s="16"/>
      <c r="D995" s="14"/>
      <c r="E995" s="14"/>
      <c r="F995" s="14"/>
      <c r="G995" s="14"/>
      <c r="H995" s="14"/>
      <c r="I995" s="17"/>
      <c r="J995" s="17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>
      <c r="A996" s="14"/>
      <c r="B996" s="14"/>
      <c r="C996" s="16"/>
      <c r="D996" s="14"/>
      <c r="E996" s="14"/>
      <c r="F996" s="14"/>
      <c r="G996" s="14"/>
      <c r="H996" s="14"/>
      <c r="I996" s="17"/>
      <c r="J996" s="17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>
      <c r="A997" s="14"/>
      <c r="B997" s="14"/>
      <c r="C997" s="16"/>
      <c r="D997" s="14"/>
      <c r="E997" s="14"/>
      <c r="F997" s="14"/>
      <c r="G997" s="14"/>
      <c r="H997" s="14"/>
      <c r="I997" s="17"/>
      <c r="J997" s="17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>
      <c r="A998" s="14"/>
      <c r="B998" s="14"/>
      <c r="C998" s="16"/>
      <c r="D998" s="14"/>
      <c r="E998" s="14"/>
      <c r="F998" s="14"/>
      <c r="G998" s="14"/>
      <c r="H998" s="14"/>
      <c r="I998" s="17"/>
      <c r="J998" s="17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  <row r="999">
      <c r="A999" s="14"/>
      <c r="B999" s="14"/>
      <c r="C999" s="16"/>
      <c r="D999" s="14"/>
      <c r="E999" s="14"/>
      <c r="F999" s="14"/>
      <c r="G999" s="14"/>
      <c r="H999" s="14"/>
      <c r="I999" s="17"/>
      <c r="J999" s="17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</row>
    <row r="1000">
      <c r="A1000" s="14"/>
      <c r="B1000" s="14"/>
      <c r="C1000" s="16"/>
      <c r="D1000" s="14"/>
      <c r="E1000" s="14"/>
      <c r="F1000" s="14"/>
      <c r="G1000" s="14"/>
      <c r="H1000" s="14"/>
      <c r="I1000" s="17"/>
      <c r="J1000" s="17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</row>
  </sheetData>
  <mergeCells count="29">
    <mergeCell ref="B2:C2"/>
    <mergeCell ref="E2:G2"/>
    <mergeCell ref="E4:G4"/>
    <mergeCell ref="E5:G7"/>
    <mergeCell ref="B9:G9"/>
    <mergeCell ref="B10:G10"/>
    <mergeCell ref="E12:G12"/>
    <mergeCell ref="B56:C57"/>
    <mergeCell ref="B59:C59"/>
    <mergeCell ref="B60:C61"/>
    <mergeCell ref="B63:C69"/>
    <mergeCell ref="E39:G39"/>
    <mergeCell ref="E40:G46"/>
    <mergeCell ref="B48:C48"/>
    <mergeCell ref="E48:G48"/>
    <mergeCell ref="B51:C51"/>
    <mergeCell ref="B52:C53"/>
    <mergeCell ref="B55:C55"/>
    <mergeCell ref="E49:G61"/>
    <mergeCell ref="E63:G63"/>
    <mergeCell ref="E64:G65"/>
    <mergeCell ref="E66:G69"/>
    <mergeCell ref="E13:G17"/>
    <mergeCell ref="E19:G19"/>
    <mergeCell ref="E20:G24"/>
    <mergeCell ref="E26:G26"/>
    <mergeCell ref="E27:G30"/>
    <mergeCell ref="E32:G32"/>
    <mergeCell ref="E33:G37"/>
  </mergeCells>
  <dataValidations>
    <dataValidation type="list" allowBlank="1" showErrorMessage="1" sqref="E64">
      <formula1>"Aprovado,Aprovado com restrições,Nova avaliação,Reprovado"</formula1>
    </dataValidation>
    <dataValidation type="list" allowBlank="1" showErrorMessage="1" sqref="C13:C17 C20:C24 C27:C30 C33:C37 C40:C46">
      <formula1>"1,2,3,4,5"</formula1>
    </dataValidation>
    <dataValidation type="list" allowBlank="1" showErrorMessage="1" sqref="C49">
      <formula1>"Sim,Não,Parialmente"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2.0" topLeftCell="A13" activePane="bottomLeft" state="frozen"/>
      <selection activeCell="B14" sqref="B14" pane="bottomLeft"/>
    </sheetView>
  </sheetViews>
  <sheetFormatPr customHeight="1" defaultColWidth="12.63" defaultRowHeight="15.75"/>
  <cols>
    <col customWidth="1" min="1" max="1" width="2.13"/>
    <col customWidth="1" min="2" max="2" width="19.38"/>
    <col customWidth="1" min="3" max="3" width="21.88"/>
    <col customWidth="1" min="4" max="4" width="19.75"/>
    <col customWidth="1" min="5" max="5" width="26.5"/>
    <col customWidth="1" min="6" max="6" width="23.75"/>
    <col customWidth="1" min="7" max="8" width="21.25"/>
    <col customWidth="1" min="9" max="9" width="21.13"/>
    <col customWidth="1" min="10" max="10" width="33.13"/>
    <col customWidth="1" min="11" max="11" width="37.63"/>
  </cols>
  <sheetData>
    <row r="1">
      <c r="A1" s="21"/>
      <c r="B1" s="21"/>
      <c r="C1" s="21"/>
      <c r="D1" s="21"/>
      <c r="E1" s="21"/>
      <c r="F1" s="21"/>
      <c r="G1" s="21"/>
      <c r="H1" s="21"/>
      <c r="I1" s="21"/>
      <c r="J1" s="24"/>
      <c r="K1" s="24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>
      <c r="A2" s="21"/>
      <c r="B2" s="26" t="s">
        <v>7</v>
      </c>
      <c r="C2" s="2"/>
      <c r="D2" s="2"/>
      <c r="E2" s="2"/>
      <c r="F2" s="2"/>
      <c r="G2" s="2"/>
      <c r="H2" s="2"/>
      <c r="I2" s="2"/>
      <c r="J2" s="2"/>
      <c r="K2" s="3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</row>
    <row r="3">
      <c r="A3" s="21"/>
      <c r="B3" s="6"/>
      <c r="C3" s="7"/>
      <c r="D3" s="7"/>
      <c r="E3" s="7"/>
      <c r="F3" s="7"/>
      <c r="G3" s="7"/>
      <c r="H3" s="7"/>
      <c r="I3" s="7"/>
      <c r="J3" s="7"/>
      <c r="K3" s="8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>
      <c r="A4" s="21"/>
      <c r="B4" s="21"/>
      <c r="C4" s="21"/>
      <c r="D4" s="21"/>
      <c r="E4" s="27"/>
      <c r="F4" s="27"/>
      <c r="G4" s="27"/>
      <c r="H4" s="21"/>
      <c r="I4" s="21"/>
      <c r="J4" s="24"/>
      <c r="K4" s="24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>
      <c r="A5" s="21"/>
      <c r="B5" s="29" t="s">
        <v>9</v>
      </c>
      <c r="C5" s="3"/>
      <c r="D5" s="27"/>
      <c r="E5" s="30" t="s">
        <v>11</v>
      </c>
      <c r="F5" s="31">
        <f>COUNTIF($E$15:$E$133,"Aprovado")</f>
        <v>1</v>
      </c>
      <c r="G5" s="32">
        <f t="shared" ref="G5:G11" si="1">F5/$B$7</f>
        <v>1</v>
      </c>
      <c r="H5" s="21"/>
      <c r="I5" s="21"/>
      <c r="J5" s="24"/>
      <c r="K5" s="24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>
      <c r="A6" s="21"/>
      <c r="B6" s="6"/>
      <c r="C6" s="8"/>
      <c r="D6" s="27"/>
      <c r="E6" s="37" t="s">
        <v>21</v>
      </c>
      <c r="F6" s="38">
        <f>COUNTIF($E$15:$E$133,"Aprovado com restrição")</f>
        <v>0</v>
      </c>
      <c r="G6" s="39">
        <f t="shared" si="1"/>
        <v>0</v>
      </c>
      <c r="H6" s="21"/>
      <c r="I6" s="21"/>
      <c r="J6" s="24"/>
      <c r="K6" s="24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>
      <c r="A7" s="21"/>
      <c r="B7" s="40">
        <f>COUNTA(D:D)-1</f>
        <v>1</v>
      </c>
      <c r="C7" s="5"/>
      <c r="D7" s="27"/>
      <c r="E7" s="37" t="s">
        <v>29</v>
      </c>
      <c r="F7" s="38">
        <f>COUNTIF($E$15:$E$133,"Nova avaliação")</f>
        <v>0</v>
      </c>
      <c r="G7" s="39">
        <f t="shared" si="1"/>
        <v>0</v>
      </c>
      <c r="H7" s="21"/>
      <c r="I7" s="21"/>
      <c r="J7" s="24"/>
      <c r="K7" s="24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>
      <c r="A8" s="21"/>
      <c r="B8" s="4"/>
      <c r="C8" s="5"/>
      <c r="D8" s="27"/>
      <c r="E8" s="41" t="s">
        <v>34</v>
      </c>
      <c r="F8" s="43">
        <f>COUNTIF($E$15:$E$133,"Reprovado")</f>
        <v>0</v>
      </c>
      <c r="G8" s="44">
        <f t="shared" si="1"/>
        <v>0</v>
      </c>
      <c r="H8" s="21"/>
      <c r="I8" s="21"/>
      <c r="J8" s="24"/>
      <c r="K8" s="24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>
      <c r="A9" s="21"/>
      <c r="B9" s="4"/>
      <c r="C9" s="5"/>
      <c r="D9" s="27"/>
      <c r="E9" s="30" t="s">
        <v>40</v>
      </c>
      <c r="F9" s="31">
        <f>COUNTIF($H$15:$H$133,"Não, dono desistiu")</f>
        <v>0</v>
      </c>
      <c r="G9" s="32">
        <f t="shared" si="1"/>
        <v>0</v>
      </c>
      <c r="H9" s="21"/>
      <c r="I9" s="21"/>
      <c r="J9" s="24"/>
      <c r="K9" s="24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>
      <c r="A10" s="21"/>
      <c r="B10" s="4"/>
      <c r="C10" s="5"/>
      <c r="D10" s="21"/>
      <c r="E10" s="37" t="s">
        <v>46</v>
      </c>
      <c r="F10" s="38">
        <f>COUNTIF($H$15:$H$133,"Sim")</f>
        <v>1</v>
      </c>
      <c r="G10" s="39">
        <f t="shared" si="1"/>
        <v>1</v>
      </c>
      <c r="H10" s="21"/>
      <c r="I10" s="21"/>
      <c r="J10" s="24"/>
      <c r="K10" s="24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>
      <c r="A11" s="21"/>
      <c r="B11" s="6"/>
      <c r="C11" s="8"/>
      <c r="D11" s="21"/>
      <c r="E11" s="41" t="s">
        <v>52</v>
      </c>
      <c r="F11" s="43">
        <f>COUNTIF($H$15:$H$133,"Não")</f>
        <v>0</v>
      </c>
      <c r="G11" s="44">
        <f t="shared" si="1"/>
        <v>0</v>
      </c>
      <c r="H11" s="21"/>
      <c r="I11" s="21"/>
      <c r="J11" s="24"/>
      <c r="K11" s="24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>
      <c r="A12" s="50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>
      <c r="A13" s="50"/>
      <c r="B13" s="51"/>
      <c r="C13" s="51"/>
      <c r="D13" s="51"/>
      <c r="E13" s="55"/>
      <c r="F13" s="55"/>
      <c r="G13" s="55"/>
      <c r="H13" s="51"/>
      <c r="I13" s="51"/>
      <c r="J13" s="51"/>
      <c r="K13" s="51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ht="39.0" customHeight="1">
      <c r="A14" s="50"/>
      <c r="B14" s="56" t="s">
        <v>48</v>
      </c>
      <c r="C14" s="58" t="s">
        <v>22</v>
      </c>
      <c r="D14" s="58" t="s">
        <v>80</v>
      </c>
      <c r="E14" s="58" t="s">
        <v>81</v>
      </c>
      <c r="F14" s="58" t="s">
        <v>82</v>
      </c>
      <c r="G14" s="58" t="s">
        <v>83</v>
      </c>
      <c r="H14" s="58" t="s">
        <v>85</v>
      </c>
      <c r="I14" s="58" t="s">
        <v>66</v>
      </c>
      <c r="J14" s="58" t="s">
        <v>86</v>
      </c>
      <c r="K14" s="59" t="s">
        <v>87</v>
      </c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>
      <c r="A15" s="21"/>
      <c r="B15" s="62">
        <v>46220.0</v>
      </c>
      <c r="C15" s="65" t="s">
        <v>67</v>
      </c>
      <c r="D15" s="67" t="s">
        <v>6</v>
      </c>
      <c r="E15" s="67" t="s">
        <v>94</v>
      </c>
      <c r="F15" s="67" t="s">
        <v>95</v>
      </c>
      <c r="G15" s="67" t="s">
        <v>98</v>
      </c>
      <c r="H15" s="67" t="s">
        <v>99</v>
      </c>
      <c r="I15" s="67" t="s">
        <v>24</v>
      </c>
      <c r="J15" s="67" t="s">
        <v>100</v>
      </c>
      <c r="K15" s="67" t="s">
        <v>102</v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>
      <c r="A16" s="68"/>
      <c r="B16" s="69"/>
      <c r="C16" s="70"/>
      <c r="D16" s="71"/>
      <c r="E16" s="71"/>
      <c r="F16" s="71"/>
      <c r="G16" s="71"/>
      <c r="H16" s="71"/>
      <c r="I16" s="71"/>
      <c r="J16" s="71"/>
      <c r="K16" s="71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</row>
    <row r="17">
      <c r="A17" s="21"/>
      <c r="B17" s="62"/>
      <c r="C17" s="65"/>
      <c r="D17" s="67"/>
      <c r="E17" s="67"/>
      <c r="F17" s="67"/>
      <c r="G17" s="67"/>
      <c r="H17" s="67"/>
      <c r="I17" s="67"/>
      <c r="J17" s="67"/>
      <c r="K17" s="67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>
      <c r="A18" s="21"/>
      <c r="B18" s="75"/>
      <c r="C18" s="76"/>
      <c r="D18" s="75"/>
      <c r="E18" s="75"/>
      <c r="F18" s="75"/>
      <c r="G18" s="75"/>
      <c r="H18" s="75"/>
      <c r="I18" s="75"/>
      <c r="J18" s="75"/>
      <c r="K18" s="75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>
      <c r="A19" s="21"/>
      <c r="B19" s="78"/>
      <c r="C19" s="79"/>
      <c r="D19" s="78"/>
      <c r="E19" s="78"/>
      <c r="F19" s="78"/>
      <c r="G19" s="78"/>
      <c r="H19" s="78"/>
      <c r="I19" s="78"/>
      <c r="J19" s="78"/>
      <c r="K19" s="78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>
      <c r="A20" s="21"/>
      <c r="B20" s="75"/>
      <c r="C20" s="76"/>
      <c r="D20" s="75"/>
      <c r="E20" s="75"/>
      <c r="F20" s="75"/>
      <c r="G20" s="75"/>
      <c r="H20" s="75"/>
      <c r="I20" s="75"/>
      <c r="J20" s="75"/>
      <c r="K20" s="75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>
      <c r="A21" s="21"/>
      <c r="B21" s="78"/>
      <c r="C21" s="79"/>
      <c r="D21" s="78"/>
      <c r="E21" s="78"/>
      <c r="F21" s="78"/>
      <c r="G21" s="78"/>
      <c r="H21" s="78"/>
      <c r="I21" s="78"/>
      <c r="J21" s="78"/>
      <c r="K21" s="78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>
      <c r="A22" s="21"/>
      <c r="B22" s="75"/>
      <c r="C22" s="76"/>
      <c r="D22" s="75"/>
      <c r="E22" s="75"/>
      <c r="F22" s="75"/>
      <c r="G22" s="75"/>
      <c r="H22" s="75"/>
      <c r="I22" s="75"/>
      <c r="J22" s="75"/>
      <c r="K22" s="75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>
      <c r="A23" s="21"/>
      <c r="B23" s="78"/>
      <c r="C23" s="79"/>
      <c r="D23" s="78"/>
      <c r="E23" s="78"/>
      <c r="F23" s="78"/>
      <c r="G23" s="78"/>
      <c r="H23" s="78"/>
      <c r="I23" s="78"/>
      <c r="J23" s="78"/>
      <c r="K23" s="78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>
      <c r="A24" s="21"/>
      <c r="B24" s="75"/>
      <c r="C24" s="76"/>
      <c r="D24" s="75"/>
      <c r="E24" s="75"/>
      <c r="F24" s="75"/>
      <c r="G24" s="75"/>
      <c r="H24" s="75"/>
      <c r="I24" s="75"/>
      <c r="J24" s="75"/>
      <c r="K24" s="75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>
      <c r="A25" s="21"/>
      <c r="B25" s="78"/>
      <c r="C25" s="79"/>
      <c r="D25" s="78"/>
      <c r="E25" s="78"/>
      <c r="F25" s="78"/>
      <c r="G25" s="78"/>
      <c r="H25" s="78"/>
      <c r="I25" s="78"/>
      <c r="J25" s="78"/>
      <c r="K25" s="78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>
      <c r="A26" s="21"/>
      <c r="B26" s="75"/>
      <c r="C26" s="76"/>
      <c r="D26" s="75"/>
      <c r="E26" s="75"/>
      <c r="F26" s="75"/>
      <c r="G26" s="75"/>
      <c r="H26" s="75"/>
      <c r="I26" s="75"/>
      <c r="J26" s="75"/>
      <c r="K26" s="75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>
      <c r="A27" s="21"/>
      <c r="B27" s="78"/>
      <c r="C27" s="79"/>
      <c r="D27" s="78"/>
      <c r="E27" s="78"/>
      <c r="F27" s="78"/>
      <c r="G27" s="78"/>
      <c r="H27" s="78"/>
      <c r="I27" s="78"/>
      <c r="J27" s="78"/>
      <c r="K27" s="78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>
      <c r="A28" s="21"/>
      <c r="B28" s="75"/>
      <c r="C28" s="76"/>
      <c r="D28" s="75"/>
      <c r="E28" s="75"/>
      <c r="F28" s="75"/>
      <c r="G28" s="75"/>
      <c r="H28" s="75"/>
      <c r="I28" s="75"/>
      <c r="J28" s="75"/>
      <c r="K28" s="75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>
      <c r="A29" s="21"/>
      <c r="B29" s="78"/>
      <c r="C29" s="79"/>
      <c r="D29" s="78"/>
      <c r="E29" s="78"/>
      <c r="F29" s="78"/>
      <c r="G29" s="78"/>
      <c r="H29" s="78"/>
      <c r="I29" s="78"/>
      <c r="J29" s="78"/>
      <c r="K29" s="78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1"/>
      <c r="B30" s="75"/>
      <c r="C30" s="76"/>
      <c r="D30" s="75"/>
      <c r="E30" s="75"/>
      <c r="F30" s="75"/>
      <c r="G30" s="75"/>
      <c r="H30" s="75"/>
      <c r="I30" s="75"/>
      <c r="J30" s="75"/>
      <c r="K30" s="75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1"/>
      <c r="B31" s="78"/>
      <c r="C31" s="79"/>
      <c r="D31" s="78"/>
      <c r="E31" s="78"/>
      <c r="F31" s="78"/>
      <c r="G31" s="78"/>
      <c r="H31" s="78"/>
      <c r="I31" s="78"/>
      <c r="J31" s="78"/>
      <c r="K31" s="78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1"/>
      <c r="B32" s="75"/>
      <c r="C32" s="76"/>
      <c r="D32" s="75"/>
      <c r="E32" s="75"/>
      <c r="F32" s="75"/>
      <c r="G32" s="75"/>
      <c r="H32" s="75"/>
      <c r="I32" s="75"/>
      <c r="J32" s="75"/>
      <c r="K32" s="75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1"/>
      <c r="B33" s="78"/>
      <c r="C33" s="79"/>
      <c r="D33" s="78"/>
      <c r="E33" s="78"/>
      <c r="F33" s="78"/>
      <c r="G33" s="78"/>
      <c r="H33" s="78"/>
      <c r="I33" s="78"/>
      <c r="J33" s="78"/>
      <c r="K33" s="78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1"/>
      <c r="B34" s="75"/>
      <c r="C34" s="76"/>
      <c r="D34" s="75"/>
      <c r="E34" s="75"/>
      <c r="F34" s="75"/>
      <c r="G34" s="75"/>
      <c r="H34" s="75"/>
      <c r="I34" s="75"/>
      <c r="J34" s="75"/>
      <c r="K34" s="75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1"/>
      <c r="B35" s="78"/>
      <c r="C35" s="79"/>
      <c r="D35" s="78"/>
      <c r="E35" s="78"/>
      <c r="F35" s="78"/>
      <c r="G35" s="78"/>
      <c r="H35" s="78"/>
      <c r="I35" s="78"/>
      <c r="J35" s="78"/>
      <c r="K35" s="78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1"/>
      <c r="B36" s="75"/>
      <c r="C36" s="76"/>
      <c r="D36" s="75"/>
      <c r="E36" s="75"/>
      <c r="F36" s="75"/>
      <c r="G36" s="75"/>
      <c r="H36" s="75"/>
      <c r="I36" s="75"/>
      <c r="J36" s="75"/>
      <c r="K36" s="75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1"/>
      <c r="B37" s="78"/>
      <c r="C37" s="79"/>
      <c r="D37" s="78"/>
      <c r="E37" s="78"/>
      <c r="F37" s="78"/>
      <c r="G37" s="78"/>
      <c r="H37" s="78"/>
      <c r="I37" s="78"/>
      <c r="J37" s="78"/>
      <c r="K37" s="78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1"/>
      <c r="B38" s="75"/>
      <c r="C38" s="76"/>
      <c r="D38" s="75"/>
      <c r="E38" s="75"/>
      <c r="F38" s="75"/>
      <c r="G38" s="75"/>
      <c r="H38" s="75"/>
      <c r="I38" s="75"/>
      <c r="J38" s="75"/>
      <c r="K38" s="75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1"/>
      <c r="B39" s="78"/>
      <c r="C39" s="79"/>
      <c r="D39" s="78"/>
      <c r="E39" s="78"/>
      <c r="F39" s="78"/>
      <c r="G39" s="78"/>
      <c r="H39" s="78"/>
      <c r="I39" s="78"/>
      <c r="J39" s="78"/>
      <c r="K39" s="78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1"/>
      <c r="B40" s="75"/>
      <c r="C40" s="76"/>
      <c r="D40" s="75"/>
      <c r="E40" s="75"/>
      <c r="F40" s="75"/>
      <c r="G40" s="75"/>
      <c r="H40" s="75"/>
      <c r="I40" s="75"/>
      <c r="J40" s="75"/>
      <c r="K40" s="75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1"/>
      <c r="B41" s="78"/>
      <c r="C41" s="79"/>
      <c r="D41" s="78"/>
      <c r="E41" s="78"/>
      <c r="F41" s="78"/>
      <c r="G41" s="78"/>
      <c r="H41" s="78"/>
      <c r="I41" s="78"/>
      <c r="J41" s="78"/>
      <c r="K41" s="78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1"/>
      <c r="B42" s="75"/>
      <c r="C42" s="76"/>
      <c r="D42" s="75"/>
      <c r="E42" s="75"/>
      <c r="F42" s="75"/>
      <c r="G42" s="75"/>
      <c r="H42" s="75"/>
      <c r="I42" s="75"/>
      <c r="J42" s="75"/>
      <c r="K42" s="75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1"/>
      <c r="B43" s="78"/>
      <c r="C43" s="79"/>
      <c r="D43" s="78"/>
      <c r="E43" s="78"/>
      <c r="F43" s="78"/>
      <c r="G43" s="78"/>
      <c r="H43" s="78"/>
      <c r="I43" s="78"/>
      <c r="J43" s="78"/>
      <c r="K43" s="78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1"/>
      <c r="B44" s="75"/>
      <c r="C44" s="76"/>
      <c r="D44" s="75"/>
      <c r="E44" s="75"/>
      <c r="F44" s="75"/>
      <c r="G44" s="75"/>
      <c r="H44" s="75"/>
      <c r="I44" s="75"/>
      <c r="J44" s="75"/>
      <c r="K44" s="75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1"/>
      <c r="B45" s="78"/>
      <c r="C45" s="79"/>
      <c r="D45" s="78"/>
      <c r="E45" s="78"/>
      <c r="F45" s="78"/>
      <c r="G45" s="78"/>
      <c r="H45" s="78"/>
      <c r="I45" s="78"/>
      <c r="J45" s="78"/>
      <c r="K45" s="78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1"/>
      <c r="B46" s="75"/>
      <c r="C46" s="76"/>
      <c r="D46" s="75"/>
      <c r="E46" s="75"/>
      <c r="F46" s="75"/>
      <c r="G46" s="75"/>
      <c r="H46" s="75"/>
      <c r="I46" s="75"/>
      <c r="J46" s="75"/>
      <c r="K46" s="75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1"/>
      <c r="B47" s="78"/>
      <c r="C47" s="79"/>
      <c r="D47" s="78"/>
      <c r="E47" s="78"/>
      <c r="F47" s="78"/>
      <c r="G47" s="78"/>
      <c r="H47" s="78"/>
      <c r="I47" s="78"/>
      <c r="J47" s="78"/>
      <c r="K47" s="78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1"/>
      <c r="B48" s="75"/>
      <c r="C48" s="76"/>
      <c r="D48" s="75"/>
      <c r="E48" s="75"/>
      <c r="F48" s="75"/>
      <c r="G48" s="75"/>
      <c r="H48" s="75"/>
      <c r="I48" s="75"/>
      <c r="J48" s="75"/>
      <c r="K48" s="75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1"/>
      <c r="B49" s="78"/>
      <c r="C49" s="79"/>
      <c r="D49" s="78"/>
      <c r="E49" s="78"/>
      <c r="F49" s="78"/>
      <c r="G49" s="78"/>
      <c r="H49" s="78"/>
      <c r="I49" s="78"/>
      <c r="J49" s="78"/>
      <c r="K49" s="78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1"/>
      <c r="B50" s="75"/>
      <c r="C50" s="76"/>
      <c r="D50" s="75"/>
      <c r="E50" s="75"/>
      <c r="F50" s="75"/>
      <c r="G50" s="75"/>
      <c r="H50" s="75"/>
      <c r="I50" s="75"/>
      <c r="J50" s="75"/>
      <c r="K50" s="75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1"/>
      <c r="B51" s="78"/>
      <c r="C51" s="79"/>
      <c r="D51" s="78"/>
      <c r="E51" s="78"/>
      <c r="F51" s="78"/>
      <c r="G51" s="78"/>
      <c r="H51" s="78"/>
      <c r="I51" s="78"/>
      <c r="J51" s="78"/>
      <c r="K51" s="78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1"/>
      <c r="B52" s="75"/>
      <c r="C52" s="76"/>
      <c r="D52" s="75"/>
      <c r="E52" s="75"/>
      <c r="F52" s="75"/>
      <c r="G52" s="75"/>
      <c r="H52" s="75"/>
      <c r="I52" s="75"/>
      <c r="J52" s="75"/>
      <c r="K52" s="75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1"/>
      <c r="B53" s="78"/>
      <c r="C53" s="79"/>
      <c r="D53" s="78"/>
      <c r="E53" s="78"/>
      <c r="F53" s="78"/>
      <c r="G53" s="78"/>
      <c r="H53" s="78"/>
      <c r="I53" s="78"/>
      <c r="J53" s="78"/>
      <c r="K53" s="78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1"/>
      <c r="B54" s="75"/>
      <c r="C54" s="76"/>
      <c r="D54" s="75"/>
      <c r="E54" s="75"/>
      <c r="F54" s="75"/>
      <c r="G54" s="75"/>
      <c r="H54" s="75"/>
      <c r="I54" s="75"/>
      <c r="J54" s="75"/>
      <c r="K54" s="75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1"/>
      <c r="B55" s="78"/>
      <c r="C55" s="79"/>
      <c r="D55" s="78"/>
      <c r="E55" s="78"/>
      <c r="F55" s="78"/>
      <c r="G55" s="78"/>
      <c r="H55" s="78"/>
      <c r="I55" s="78"/>
      <c r="J55" s="78"/>
      <c r="K55" s="78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1"/>
      <c r="B56" s="75"/>
      <c r="C56" s="76"/>
      <c r="D56" s="75"/>
      <c r="E56" s="75"/>
      <c r="F56" s="75"/>
      <c r="G56" s="75"/>
      <c r="H56" s="75"/>
      <c r="I56" s="75"/>
      <c r="J56" s="75"/>
      <c r="K56" s="75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1"/>
      <c r="B57" s="78"/>
      <c r="C57" s="79"/>
      <c r="D57" s="78"/>
      <c r="E57" s="78"/>
      <c r="F57" s="78"/>
      <c r="G57" s="78"/>
      <c r="H57" s="78"/>
      <c r="I57" s="78"/>
      <c r="J57" s="78"/>
      <c r="K57" s="78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1"/>
      <c r="B58" s="75"/>
      <c r="C58" s="76"/>
      <c r="D58" s="75"/>
      <c r="E58" s="75"/>
      <c r="F58" s="75"/>
      <c r="G58" s="75"/>
      <c r="H58" s="75"/>
      <c r="I58" s="75"/>
      <c r="J58" s="75"/>
      <c r="K58" s="75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1"/>
      <c r="B59" s="78"/>
      <c r="C59" s="79"/>
      <c r="D59" s="78"/>
      <c r="E59" s="78"/>
      <c r="F59" s="78"/>
      <c r="G59" s="78"/>
      <c r="H59" s="78"/>
      <c r="I59" s="78"/>
      <c r="J59" s="78"/>
      <c r="K59" s="78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1"/>
      <c r="B60" s="75"/>
      <c r="C60" s="76"/>
      <c r="D60" s="75"/>
      <c r="E60" s="75"/>
      <c r="F60" s="75"/>
      <c r="G60" s="75"/>
      <c r="H60" s="75"/>
      <c r="I60" s="75"/>
      <c r="J60" s="75"/>
      <c r="K60" s="75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1"/>
      <c r="B61" s="78"/>
      <c r="C61" s="79"/>
      <c r="D61" s="78"/>
      <c r="E61" s="78"/>
      <c r="F61" s="78"/>
      <c r="G61" s="78"/>
      <c r="H61" s="78"/>
      <c r="I61" s="78"/>
      <c r="J61" s="78"/>
      <c r="K61" s="78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1"/>
      <c r="B62" s="75"/>
      <c r="C62" s="76"/>
      <c r="D62" s="75"/>
      <c r="E62" s="75"/>
      <c r="F62" s="75"/>
      <c r="G62" s="75"/>
      <c r="H62" s="75"/>
      <c r="I62" s="75"/>
      <c r="J62" s="75"/>
      <c r="K62" s="75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1"/>
      <c r="B63" s="78"/>
      <c r="C63" s="79"/>
      <c r="D63" s="78"/>
      <c r="E63" s="78"/>
      <c r="F63" s="78"/>
      <c r="G63" s="78"/>
      <c r="H63" s="78"/>
      <c r="I63" s="78"/>
      <c r="J63" s="78"/>
      <c r="K63" s="78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1"/>
      <c r="B64" s="75"/>
      <c r="C64" s="76"/>
      <c r="D64" s="75"/>
      <c r="E64" s="75"/>
      <c r="F64" s="75"/>
      <c r="G64" s="75"/>
      <c r="H64" s="75"/>
      <c r="I64" s="75"/>
      <c r="J64" s="75"/>
      <c r="K64" s="75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1"/>
      <c r="B65" s="78"/>
      <c r="C65" s="79"/>
      <c r="D65" s="78"/>
      <c r="E65" s="78"/>
      <c r="F65" s="78"/>
      <c r="G65" s="78"/>
      <c r="H65" s="78"/>
      <c r="I65" s="78"/>
      <c r="J65" s="78"/>
      <c r="K65" s="78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1"/>
      <c r="B66" s="75"/>
      <c r="C66" s="76"/>
      <c r="D66" s="75"/>
      <c r="E66" s="75"/>
      <c r="F66" s="75"/>
      <c r="G66" s="75"/>
      <c r="H66" s="75"/>
      <c r="I66" s="75"/>
      <c r="J66" s="75"/>
      <c r="K66" s="75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1"/>
      <c r="B67" s="78"/>
      <c r="C67" s="79"/>
      <c r="D67" s="78"/>
      <c r="E67" s="78"/>
      <c r="F67" s="78"/>
      <c r="G67" s="78"/>
      <c r="H67" s="78"/>
      <c r="I67" s="78"/>
      <c r="J67" s="78"/>
      <c r="K67" s="78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1"/>
      <c r="B68" s="75"/>
      <c r="C68" s="76"/>
      <c r="D68" s="75"/>
      <c r="E68" s="75"/>
      <c r="F68" s="75"/>
      <c r="G68" s="75"/>
      <c r="H68" s="75"/>
      <c r="I68" s="75"/>
      <c r="J68" s="75"/>
      <c r="K68" s="75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1"/>
      <c r="B69" s="78"/>
      <c r="C69" s="79"/>
      <c r="D69" s="78"/>
      <c r="E69" s="78"/>
      <c r="F69" s="78"/>
      <c r="G69" s="78"/>
      <c r="H69" s="78"/>
      <c r="I69" s="78"/>
      <c r="J69" s="78"/>
      <c r="K69" s="78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1"/>
      <c r="B70" s="75"/>
      <c r="C70" s="76"/>
      <c r="D70" s="75"/>
      <c r="E70" s="75"/>
      <c r="F70" s="75"/>
      <c r="G70" s="75"/>
      <c r="H70" s="75"/>
      <c r="I70" s="75"/>
      <c r="J70" s="75"/>
      <c r="K70" s="75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1"/>
      <c r="B71" s="78"/>
      <c r="C71" s="79"/>
      <c r="D71" s="78"/>
      <c r="E71" s="78"/>
      <c r="F71" s="78"/>
      <c r="G71" s="78"/>
      <c r="H71" s="78"/>
      <c r="I71" s="78"/>
      <c r="J71" s="78"/>
      <c r="K71" s="78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1"/>
      <c r="B72" s="75"/>
      <c r="C72" s="76"/>
      <c r="D72" s="75"/>
      <c r="E72" s="75"/>
      <c r="F72" s="75"/>
      <c r="G72" s="75"/>
      <c r="H72" s="75"/>
      <c r="I72" s="75"/>
      <c r="J72" s="75"/>
      <c r="K72" s="75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1"/>
      <c r="B73" s="78"/>
      <c r="C73" s="79"/>
      <c r="D73" s="78"/>
      <c r="E73" s="78"/>
      <c r="F73" s="78"/>
      <c r="G73" s="78"/>
      <c r="H73" s="78"/>
      <c r="I73" s="78"/>
      <c r="J73" s="78"/>
      <c r="K73" s="78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1"/>
      <c r="B74" s="75"/>
      <c r="C74" s="76"/>
      <c r="D74" s="75"/>
      <c r="E74" s="75"/>
      <c r="F74" s="75"/>
      <c r="G74" s="75"/>
      <c r="H74" s="75"/>
      <c r="I74" s="75"/>
      <c r="J74" s="75"/>
      <c r="K74" s="75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1"/>
      <c r="B75" s="78"/>
      <c r="C75" s="79"/>
      <c r="D75" s="78"/>
      <c r="E75" s="78"/>
      <c r="F75" s="78"/>
      <c r="G75" s="78"/>
      <c r="H75" s="78"/>
      <c r="I75" s="78"/>
      <c r="J75" s="78"/>
      <c r="K75" s="78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1"/>
      <c r="B76" s="75"/>
      <c r="C76" s="76"/>
      <c r="D76" s="75"/>
      <c r="E76" s="75"/>
      <c r="F76" s="75"/>
      <c r="G76" s="75"/>
      <c r="H76" s="75"/>
      <c r="I76" s="75"/>
      <c r="J76" s="75"/>
      <c r="K76" s="75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1"/>
      <c r="B77" s="78"/>
      <c r="C77" s="79"/>
      <c r="D77" s="78"/>
      <c r="E77" s="78"/>
      <c r="F77" s="78"/>
      <c r="G77" s="78"/>
      <c r="H77" s="78"/>
      <c r="I77" s="78"/>
      <c r="J77" s="78"/>
      <c r="K77" s="78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1"/>
      <c r="B78" s="75"/>
      <c r="C78" s="76"/>
      <c r="D78" s="75"/>
      <c r="E78" s="75"/>
      <c r="F78" s="75"/>
      <c r="G78" s="75"/>
      <c r="H78" s="75"/>
      <c r="I78" s="75"/>
      <c r="J78" s="75"/>
      <c r="K78" s="75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1"/>
      <c r="B79" s="78"/>
      <c r="C79" s="79"/>
      <c r="D79" s="78"/>
      <c r="E79" s="78"/>
      <c r="F79" s="78"/>
      <c r="G79" s="78"/>
      <c r="H79" s="78"/>
      <c r="I79" s="78"/>
      <c r="J79" s="78"/>
      <c r="K79" s="78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1"/>
      <c r="B80" s="75"/>
      <c r="C80" s="76"/>
      <c r="D80" s="75"/>
      <c r="E80" s="75"/>
      <c r="F80" s="75"/>
      <c r="G80" s="75"/>
      <c r="H80" s="75"/>
      <c r="I80" s="75"/>
      <c r="J80" s="75"/>
      <c r="K80" s="75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1"/>
      <c r="B81" s="78"/>
      <c r="C81" s="79"/>
      <c r="D81" s="78"/>
      <c r="E81" s="78"/>
      <c r="F81" s="78"/>
      <c r="G81" s="78"/>
      <c r="H81" s="78"/>
      <c r="I81" s="78"/>
      <c r="J81" s="78"/>
      <c r="K81" s="78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1"/>
      <c r="B82" s="75"/>
      <c r="C82" s="76"/>
      <c r="D82" s="75"/>
      <c r="E82" s="75"/>
      <c r="F82" s="75"/>
      <c r="G82" s="75"/>
      <c r="H82" s="75"/>
      <c r="I82" s="75"/>
      <c r="J82" s="75"/>
      <c r="K82" s="75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1"/>
      <c r="B83" s="78"/>
      <c r="C83" s="79"/>
      <c r="D83" s="78"/>
      <c r="E83" s="78"/>
      <c r="F83" s="78"/>
      <c r="G83" s="78"/>
      <c r="H83" s="78"/>
      <c r="I83" s="78"/>
      <c r="J83" s="78"/>
      <c r="K83" s="78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1"/>
      <c r="B84" s="75"/>
      <c r="C84" s="76"/>
      <c r="D84" s="75"/>
      <c r="E84" s="75"/>
      <c r="F84" s="75"/>
      <c r="G84" s="75"/>
      <c r="H84" s="75"/>
      <c r="I84" s="75"/>
      <c r="J84" s="75"/>
      <c r="K84" s="75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1"/>
      <c r="B85" s="78"/>
      <c r="C85" s="79"/>
      <c r="D85" s="78"/>
      <c r="E85" s="78"/>
      <c r="F85" s="78"/>
      <c r="G85" s="78"/>
      <c r="H85" s="78"/>
      <c r="I85" s="78"/>
      <c r="J85" s="78"/>
      <c r="K85" s="78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1"/>
      <c r="B86" s="75"/>
      <c r="C86" s="76"/>
      <c r="D86" s="75"/>
      <c r="E86" s="75"/>
      <c r="F86" s="75"/>
      <c r="G86" s="75"/>
      <c r="H86" s="75"/>
      <c r="I86" s="75"/>
      <c r="J86" s="75"/>
      <c r="K86" s="75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1"/>
      <c r="B87" s="78"/>
      <c r="C87" s="79"/>
      <c r="D87" s="78"/>
      <c r="E87" s="78"/>
      <c r="F87" s="78"/>
      <c r="G87" s="78"/>
      <c r="H87" s="78"/>
      <c r="I87" s="78"/>
      <c r="J87" s="78"/>
      <c r="K87" s="78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1"/>
      <c r="B88" s="75"/>
      <c r="C88" s="76"/>
      <c r="D88" s="75"/>
      <c r="E88" s="75"/>
      <c r="F88" s="75"/>
      <c r="G88" s="75"/>
      <c r="H88" s="75"/>
      <c r="I88" s="75"/>
      <c r="J88" s="75"/>
      <c r="K88" s="75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1"/>
      <c r="B89" s="78"/>
      <c r="C89" s="79"/>
      <c r="D89" s="78"/>
      <c r="E89" s="78"/>
      <c r="F89" s="78"/>
      <c r="G89" s="78"/>
      <c r="H89" s="78"/>
      <c r="I89" s="78"/>
      <c r="J89" s="78"/>
      <c r="K89" s="78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1"/>
      <c r="B90" s="75"/>
      <c r="C90" s="76"/>
      <c r="D90" s="75"/>
      <c r="E90" s="75"/>
      <c r="F90" s="75"/>
      <c r="G90" s="75"/>
      <c r="H90" s="75"/>
      <c r="I90" s="75"/>
      <c r="J90" s="75"/>
      <c r="K90" s="75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1"/>
      <c r="B91" s="78"/>
      <c r="C91" s="79"/>
      <c r="D91" s="78"/>
      <c r="E91" s="78"/>
      <c r="F91" s="78"/>
      <c r="G91" s="78"/>
      <c r="H91" s="78"/>
      <c r="I91" s="78"/>
      <c r="J91" s="78"/>
      <c r="K91" s="78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1"/>
      <c r="B92" s="75"/>
      <c r="C92" s="76"/>
      <c r="D92" s="75"/>
      <c r="E92" s="75"/>
      <c r="F92" s="75"/>
      <c r="G92" s="75"/>
      <c r="H92" s="75"/>
      <c r="I92" s="75"/>
      <c r="J92" s="75"/>
      <c r="K92" s="75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1"/>
      <c r="B93" s="78"/>
      <c r="C93" s="79"/>
      <c r="D93" s="78"/>
      <c r="E93" s="78"/>
      <c r="F93" s="78"/>
      <c r="G93" s="78"/>
      <c r="H93" s="78"/>
      <c r="I93" s="78"/>
      <c r="J93" s="78"/>
      <c r="K93" s="78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1"/>
      <c r="B94" s="75"/>
      <c r="C94" s="76"/>
      <c r="D94" s="75"/>
      <c r="E94" s="75"/>
      <c r="F94" s="75"/>
      <c r="G94" s="75"/>
      <c r="H94" s="75"/>
      <c r="I94" s="75"/>
      <c r="J94" s="75"/>
      <c r="K94" s="75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1"/>
      <c r="B95" s="78"/>
      <c r="C95" s="79"/>
      <c r="D95" s="78"/>
      <c r="E95" s="78"/>
      <c r="F95" s="78"/>
      <c r="G95" s="78"/>
      <c r="H95" s="78"/>
      <c r="I95" s="78"/>
      <c r="J95" s="78"/>
      <c r="K95" s="78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1"/>
      <c r="B96" s="75"/>
      <c r="C96" s="76"/>
      <c r="D96" s="75"/>
      <c r="E96" s="75"/>
      <c r="F96" s="75"/>
      <c r="G96" s="75"/>
      <c r="H96" s="75"/>
      <c r="I96" s="75"/>
      <c r="J96" s="75"/>
      <c r="K96" s="75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1"/>
      <c r="B97" s="78"/>
      <c r="C97" s="79"/>
      <c r="D97" s="78"/>
      <c r="E97" s="78"/>
      <c r="F97" s="78"/>
      <c r="G97" s="78"/>
      <c r="H97" s="78"/>
      <c r="I97" s="78"/>
      <c r="J97" s="78"/>
      <c r="K97" s="78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1"/>
      <c r="B98" s="75"/>
      <c r="C98" s="76"/>
      <c r="D98" s="75"/>
      <c r="E98" s="75"/>
      <c r="F98" s="75"/>
      <c r="G98" s="75"/>
      <c r="H98" s="75"/>
      <c r="I98" s="75"/>
      <c r="J98" s="75"/>
      <c r="K98" s="75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1"/>
      <c r="B99" s="78"/>
      <c r="C99" s="79"/>
      <c r="D99" s="78"/>
      <c r="E99" s="78"/>
      <c r="F99" s="78"/>
      <c r="G99" s="78"/>
      <c r="H99" s="78"/>
      <c r="I99" s="78"/>
      <c r="J99" s="78"/>
      <c r="K99" s="78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1"/>
      <c r="B100" s="75"/>
      <c r="C100" s="76"/>
      <c r="D100" s="75"/>
      <c r="E100" s="75"/>
      <c r="F100" s="75"/>
      <c r="G100" s="75"/>
      <c r="H100" s="75"/>
      <c r="I100" s="75"/>
      <c r="J100" s="75"/>
      <c r="K100" s="75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1"/>
      <c r="B101" s="78"/>
      <c r="C101" s="79"/>
      <c r="D101" s="78"/>
      <c r="E101" s="78"/>
      <c r="F101" s="78"/>
      <c r="G101" s="78"/>
      <c r="H101" s="78"/>
      <c r="I101" s="78"/>
      <c r="J101" s="78"/>
      <c r="K101" s="78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1"/>
      <c r="B102" s="75"/>
      <c r="C102" s="76"/>
      <c r="D102" s="75"/>
      <c r="E102" s="75"/>
      <c r="F102" s="75"/>
      <c r="G102" s="75"/>
      <c r="H102" s="75"/>
      <c r="I102" s="75"/>
      <c r="J102" s="75"/>
      <c r="K102" s="75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1"/>
      <c r="B103" s="78"/>
      <c r="C103" s="79"/>
      <c r="D103" s="78"/>
      <c r="E103" s="78"/>
      <c r="F103" s="78"/>
      <c r="G103" s="78"/>
      <c r="H103" s="78"/>
      <c r="I103" s="78"/>
      <c r="J103" s="78"/>
      <c r="K103" s="78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1"/>
      <c r="B104" s="75"/>
      <c r="C104" s="76"/>
      <c r="D104" s="75"/>
      <c r="E104" s="75"/>
      <c r="F104" s="75"/>
      <c r="G104" s="75"/>
      <c r="H104" s="75"/>
      <c r="I104" s="75"/>
      <c r="J104" s="75"/>
      <c r="K104" s="75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1"/>
      <c r="B105" s="78"/>
      <c r="C105" s="79"/>
      <c r="D105" s="78"/>
      <c r="E105" s="78"/>
      <c r="F105" s="78"/>
      <c r="G105" s="78"/>
      <c r="H105" s="78"/>
      <c r="I105" s="78"/>
      <c r="J105" s="78"/>
      <c r="K105" s="78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1"/>
      <c r="B106" s="75"/>
      <c r="C106" s="76"/>
      <c r="D106" s="75"/>
      <c r="E106" s="75"/>
      <c r="F106" s="75"/>
      <c r="G106" s="75"/>
      <c r="H106" s="75"/>
      <c r="I106" s="75"/>
      <c r="J106" s="75"/>
      <c r="K106" s="75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1"/>
      <c r="B107" s="78"/>
      <c r="C107" s="79"/>
      <c r="D107" s="78"/>
      <c r="E107" s="78"/>
      <c r="F107" s="78"/>
      <c r="G107" s="78"/>
      <c r="H107" s="78"/>
      <c r="I107" s="78"/>
      <c r="J107" s="78"/>
      <c r="K107" s="78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1"/>
      <c r="B108" s="75"/>
      <c r="C108" s="76"/>
      <c r="D108" s="75"/>
      <c r="E108" s="75"/>
      <c r="F108" s="75"/>
      <c r="G108" s="75"/>
      <c r="H108" s="75"/>
      <c r="I108" s="75"/>
      <c r="J108" s="75"/>
      <c r="K108" s="75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1"/>
      <c r="B109" s="78"/>
      <c r="C109" s="79"/>
      <c r="D109" s="78"/>
      <c r="E109" s="78"/>
      <c r="F109" s="78"/>
      <c r="G109" s="78"/>
      <c r="H109" s="78"/>
      <c r="I109" s="78"/>
      <c r="J109" s="78"/>
      <c r="K109" s="78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1"/>
      <c r="B110" s="75"/>
      <c r="C110" s="76"/>
      <c r="D110" s="75"/>
      <c r="E110" s="75"/>
      <c r="F110" s="75"/>
      <c r="G110" s="75"/>
      <c r="H110" s="75"/>
      <c r="I110" s="75"/>
      <c r="J110" s="75"/>
      <c r="K110" s="75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1"/>
      <c r="B111" s="78"/>
      <c r="C111" s="79"/>
      <c r="D111" s="78"/>
      <c r="E111" s="78"/>
      <c r="F111" s="78"/>
      <c r="G111" s="78"/>
      <c r="H111" s="78"/>
      <c r="I111" s="78"/>
      <c r="J111" s="78"/>
      <c r="K111" s="78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21"/>
      <c r="B112" s="75"/>
      <c r="C112" s="76"/>
      <c r="D112" s="75"/>
      <c r="E112" s="75"/>
      <c r="F112" s="75"/>
      <c r="G112" s="75"/>
      <c r="H112" s="75"/>
      <c r="I112" s="75"/>
      <c r="J112" s="75"/>
      <c r="K112" s="75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21"/>
      <c r="B113" s="78"/>
      <c r="C113" s="79"/>
      <c r="D113" s="78"/>
      <c r="E113" s="78"/>
      <c r="F113" s="78"/>
      <c r="G113" s="78"/>
      <c r="H113" s="78"/>
      <c r="I113" s="78"/>
      <c r="J113" s="78"/>
      <c r="K113" s="78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21"/>
      <c r="B114" s="75"/>
      <c r="C114" s="76"/>
      <c r="D114" s="75"/>
      <c r="E114" s="75"/>
      <c r="F114" s="75"/>
      <c r="G114" s="75"/>
      <c r="H114" s="75"/>
      <c r="I114" s="75"/>
      <c r="J114" s="75"/>
      <c r="K114" s="75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21"/>
      <c r="B115" s="78"/>
      <c r="C115" s="79"/>
      <c r="D115" s="78"/>
      <c r="E115" s="78"/>
      <c r="F115" s="78"/>
      <c r="G115" s="78"/>
      <c r="H115" s="78"/>
      <c r="I115" s="78"/>
      <c r="J115" s="78"/>
      <c r="K115" s="78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21"/>
      <c r="B116" s="75"/>
      <c r="C116" s="76"/>
      <c r="D116" s="75"/>
      <c r="E116" s="75"/>
      <c r="F116" s="75"/>
      <c r="G116" s="75"/>
      <c r="H116" s="75"/>
      <c r="I116" s="75"/>
      <c r="J116" s="75"/>
      <c r="K116" s="75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21"/>
      <c r="B117" s="78"/>
      <c r="C117" s="79"/>
      <c r="D117" s="78"/>
      <c r="E117" s="78"/>
      <c r="F117" s="78"/>
      <c r="G117" s="78"/>
      <c r="H117" s="78"/>
      <c r="I117" s="78"/>
      <c r="J117" s="78"/>
      <c r="K117" s="78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21"/>
      <c r="B118" s="75"/>
      <c r="C118" s="76"/>
      <c r="D118" s="75"/>
      <c r="E118" s="75"/>
      <c r="F118" s="75"/>
      <c r="G118" s="75"/>
      <c r="H118" s="75"/>
      <c r="I118" s="75"/>
      <c r="J118" s="75"/>
      <c r="K118" s="75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21"/>
      <c r="B119" s="78"/>
      <c r="C119" s="79"/>
      <c r="D119" s="78"/>
      <c r="E119" s="78"/>
      <c r="F119" s="78"/>
      <c r="G119" s="78"/>
      <c r="H119" s="78"/>
      <c r="I119" s="78"/>
      <c r="J119" s="78"/>
      <c r="K119" s="78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21"/>
      <c r="B120" s="75"/>
      <c r="C120" s="76"/>
      <c r="D120" s="75"/>
      <c r="E120" s="75"/>
      <c r="F120" s="75"/>
      <c r="G120" s="75"/>
      <c r="H120" s="75"/>
      <c r="I120" s="75"/>
      <c r="J120" s="75"/>
      <c r="K120" s="75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21"/>
      <c r="B121" s="78"/>
      <c r="C121" s="79"/>
      <c r="D121" s="78"/>
      <c r="E121" s="78"/>
      <c r="F121" s="78"/>
      <c r="G121" s="78"/>
      <c r="H121" s="78"/>
      <c r="I121" s="78"/>
      <c r="J121" s="78"/>
      <c r="K121" s="78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21"/>
      <c r="B122" s="75"/>
      <c r="C122" s="76"/>
      <c r="D122" s="75"/>
      <c r="E122" s="75"/>
      <c r="F122" s="75"/>
      <c r="G122" s="75"/>
      <c r="H122" s="75"/>
      <c r="I122" s="75"/>
      <c r="J122" s="75"/>
      <c r="K122" s="75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21"/>
      <c r="B123" s="78"/>
      <c r="C123" s="79"/>
      <c r="D123" s="78"/>
      <c r="E123" s="78"/>
      <c r="F123" s="78"/>
      <c r="G123" s="78"/>
      <c r="H123" s="78"/>
      <c r="I123" s="78"/>
      <c r="J123" s="78"/>
      <c r="K123" s="78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21"/>
      <c r="B124" s="75"/>
      <c r="C124" s="76"/>
      <c r="D124" s="75"/>
      <c r="E124" s="75"/>
      <c r="F124" s="75"/>
      <c r="G124" s="75"/>
      <c r="H124" s="75"/>
      <c r="I124" s="75"/>
      <c r="J124" s="75"/>
      <c r="K124" s="75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21"/>
      <c r="B125" s="78"/>
      <c r="C125" s="79"/>
      <c r="D125" s="78"/>
      <c r="E125" s="78"/>
      <c r="F125" s="78"/>
      <c r="G125" s="78"/>
      <c r="H125" s="78"/>
      <c r="I125" s="78"/>
      <c r="J125" s="78"/>
      <c r="K125" s="78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21"/>
      <c r="B126" s="75"/>
      <c r="C126" s="76"/>
      <c r="D126" s="75"/>
      <c r="E126" s="75"/>
      <c r="F126" s="75"/>
      <c r="G126" s="75"/>
      <c r="H126" s="75"/>
      <c r="I126" s="75"/>
      <c r="J126" s="75"/>
      <c r="K126" s="75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21"/>
      <c r="B127" s="78"/>
      <c r="C127" s="79"/>
      <c r="D127" s="78"/>
      <c r="E127" s="78"/>
      <c r="F127" s="78"/>
      <c r="G127" s="78"/>
      <c r="H127" s="78"/>
      <c r="I127" s="78"/>
      <c r="J127" s="78"/>
      <c r="K127" s="78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21"/>
      <c r="B128" s="75"/>
      <c r="C128" s="76"/>
      <c r="D128" s="75"/>
      <c r="E128" s="75"/>
      <c r="F128" s="75"/>
      <c r="G128" s="75"/>
      <c r="H128" s="75"/>
      <c r="I128" s="75"/>
      <c r="J128" s="75"/>
      <c r="K128" s="75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21"/>
      <c r="B129" s="78"/>
      <c r="C129" s="79"/>
      <c r="D129" s="78"/>
      <c r="E129" s="78"/>
      <c r="F129" s="78"/>
      <c r="G129" s="78"/>
      <c r="H129" s="78"/>
      <c r="I129" s="78"/>
      <c r="J129" s="78"/>
      <c r="K129" s="78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21"/>
      <c r="B130" s="75"/>
      <c r="C130" s="76"/>
      <c r="D130" s="75"/>
      <c r="E130" s="75"/>
      <c r="F130" s="75"/>
      <c r="G130" s="75"/>
      <c r="H130" s="75"/>
      <c r="I130" s="75"/>
      <c r="J130" s="75"/>
      <c r="K130" s="75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21"/>
      <c r="B131" s="78"/>
      <c r="C131" s="79"/>
      <c r="D131" s="78"/>
      <c r="E131" s="78"/>
      <c r="F131" s="78"/>
      <c r="G131" s="78"/>
      <c r="H131" s="78"/>
      <c r="I131" s="78"/>
      <c r="J131" s="78"/>
      <c r="K131" s="78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21"/>
      <c r="B132" s="75"/>
      <c r="C132" s="76"/>
      <c r="D132" s="75"/>
      <c r="E132" s="75"/>
      <c r="F132" s="75"/>
      <c r="G132" s="75"/>
      <c r="H132" s="75"/>
      <c r="I132" s="75"/>
      <c r="J132" s="75"/>
      <c r="K132" s="75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21"/>
      <c r="B133" s="78"/>
      <c r="C133" s="79"/>
      <c r="D133" s="78"/>
      <c r="E133" s="78"/>
      <c r="F133" s="78"/>
      <c r="G133" s="78"/>
      <c r="H133" s="78"/>
      <c r="I133" s="78"/>
      <c r="J133" s="78"/>
      <c r="K133" s="78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21"/>
      <c r="B134" s="75"/>
      <c r="C134" s="76"/>
      <c r="D134" s="75"/>
      <c r="E134" s="75"/>
      <c r="F134" s="75"/>
      <c r="G134" s="75"/>
      <c r="H134" s="75"/>
      <c r="I134" s="75"/>
      <c r="J134" s="75"/>
      <c r="K134" s="75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21"/>
      <c r="B135" s="78"/>
      <c r="C135" s="79"/>
      <c r="D135" s="78"/>
      <c r="E135" s="78"/>
      <c r="F135" s="78"/>
      <c r="G135" s="78"/>
      <c r="H135" s="78"/>
      <c r="I135" s="78"/>
      <c r="J135" s="78"/>
      <c r="K135" s="78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21"/>
      <c r="B136" s="75"/>
      <c r="C136" s="76"/>
      <c r="D136" s="75"/>
      <c r="E136" s="75"/>
      <c r="F136" s="75"/>
      <c r="G136" s="75"/>
      <c r="H136" s="75"/>
      <c r="I136" s="75"/>
      <c r="J136" s="75"/>
      <c r="K136" s="75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21"/>
      <c r="B137" s="78"/>
      <c r="C137" s="79"/>
      <c r="D137" s="78"/>
      <c r="E137" s="78"/>
      <c r="F137" s="78"/>
      <c r="G137" s="78"/>
      <c r="H137" s="78"/>
      <c r="I137" s="78"/>
      <c r="J137" s="78"/>
      <c r="K137" s="78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21"/>
      <c r="B138" s="75"/>
      <c r="C138" s="76"/>
      <c r="D138" s="75"/>
      <c r="E138" s="75"/>
      <c r="F138" s="75"/>
      <c r="G138" s="75"/>
      <c r="H138" s="75"/>
      <c r="I138" s="75"/>
      <c r="J138" s="75"/>
      <c r="K138" s="75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21"/>
      <c r="B139" s="78"/>
      <c r="C139" s="79"/>
      <c r="D139" s="78"/>
      <c r="E139" s="78"/>
      <c r="F139" s="78"/>
      <c r="G139" s="78"/>
      <c r="H139" s="78"/>
      <c r="I139" s="78"/>
      <c r="J139" s="78"/>
      <c r="K139" s="78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21"/>
      <c r="B140" s="75"/>
      <c r="C140" s="76"/>
      <c r="D140" s="75"/>
      <c r="E140" s="75"/>
      <c r="F140" s="75"/>
      <c r="G140" s="75"/>
      <c r="H140" s="75"/>
      <c r="I140" s="75"/>
      <c r="J140" s="75"/>
      <c r="K140" s="75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21"/>
      <c r="B141" s="78"/>
      <c r="C141" s="79"/>
      <c r="D141" s="78"/>
      <c r="E141" s="78"/>
      <c r="F141" s="78"/>
      <c r="G141" s="78"/>
      <c r="H141" s="78"/>
      <c r="I141" s="78"/>
      <c r="J141" s="78"/>
      <c r="K141" s="78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21"/>
      <c r="B142" s="75"/>
      <c r="C142" s="76"/>
      <c r="D142" s="75"/>
      <c r="E142" s="75"/>
      <c r="F142" s="75"/>
      <c r="G142" s="75"/>
      <c r="H142" s="75"/>
      <c r="I142" s="75"/>
      <c r="J142" s="75"/>
      <c r="K142" s="75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21"/>
      <c r="B143" s="78"/>
      <c r="C143" s="79"/>
      <c r="D143" s="78"/>
      <c r="E143" s="78"/>
      <c r="F143" s="78"/>
      <c r="G143" s="78"/>
      <c r="H143" s="78"/>
      <c r="I143" s="78"/>
      <c r="J143" s="78"/>
      <c r="K143" s="78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</sheetData>
  <autoFilter ref="$B$14:$K$143"/>
  <mergeCells count="3">
    <mergeCell ref="B2:K3"/>
    <mergeCell ref="B5:C6"/>
    <mergeCell ref="B7:C1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25"/>
    <col customWidth="1" min="2" max="2" width="8.0"/>
    <col customWidth="1" min="3" max="3" width="20.63"/>
    <col customWidth="1" min="4" max="4" width="17.5"/>
    <col customWidth="1" min="5" max="5" width="4.13"/>
    <col customWidth="1" min="6" max="6" width="53.25"/>
    <col customWidth="1" min="7" max="7" width="9.0"/>
    <col customWidth="1" min="8" max="8" width="10.88"/>
    <col customWidth="1" min="9" max="9" width="29.75"/>
  </cols>
  <sheetData>
    <row r="1">
      <c r="A1" s="149" t="s">
        <v>224</v>
      </c>
      <c r="B1" s="150"/>
      <c r="C1" s="151" t="s">
        <v>225</v>
      </c>
      <c r="D1" s="151" t="s">
        <v>226</v>
      </c>
      <c r="E1" s="150"/>
      <c r="F1" s="151" t="s">
        <v>227</v>
      </c>
      <c r="G1" s="151" t="s">
        <v>228</v>
      </c>
      <c r="H1" s="151" t="s">
        <v>229</v>
      </c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>
      <c r="A2" s="149" t="s">
        <v>230</v>
      </c>
      <c r="B2" s="150"/>
      <c r="C2" s="149" t="s">
        <v>231</v>
      </c>
      <c r="D2" s="149" t="s">
        <v>232</v>
      </c>
      <c r="E2" s="150"/>
      <c r="F2" s="149" t="s">
        <v>233</v>
      </c>
      <c r="G2" s="149" t="s">
        <v>234</v>
      </c>
      <c r="H2" s="149" t="s">
        <v>235</v>
      </c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>
      <c r="A3" s="149" t="s">
        <v>236</v>
      </c>
      <c r="B3" s="150"/>
      <c r="C3" s="149" t="s">
        <v>237</v>
      </c>
      <c r="D3" s="149" t="s">
        <v>238</v>
      </c>
      <c r="E3" s="150"/>
      <c r="F3" s="149" t="s">
        <v>239</v>
      </c>
      <c r="G3" s="149">
        <v>31.0</v>
      </c>
      <c r="H3" s="149" t="s">
        <v>240</v>
      </c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>
      <c r="A4" s="149" t="s">
        <v>241</v>
      </c>
      <c r="B4" s="150"/>
      <c r="C4" s="149" t="s">
        <v>242</v>
      </c>
      <c r="D4" s="149" t="s">
        <v>243</v>
      </c>
      <c r="E4" s="150"/>
      <c r="F4" s="149" t="s">
        <v>244</v>
      </c>
      <c r="G4" s="149">
        <v>34.0</v>
      </c>
      <c r="H4" s="149" t="s">
        <v>240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>
      <c r="A5" s="149" t="s">
        <v>245</v>
      </c>
      <c r="B5" s="150"/>
      <c r="C5" s="149" t="s">
        <v>246</v>
      </c>
      <c r="D5" s="149" t="s">
        <v>247</v>
      </c>
      <c r="E5" s="150"/>
      <c r="F5" s="149" t="s">
        <v>248</v>
      </c>
      <c r="G5" s="149">
        <v>6.0</v>
      </c>
      <c r="H5" s="149" t="s">
        <v>249</v>
      </c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>
      <c r="A6" s="150"/>
      <c r="B6" s="150"/>
      <c r="C6" s="149" t="s">
        <v>250</v>
      </c>
      <c r="D6" s="149" t="s">
        <v>244</v>
      </c>
      <c r="E6" s="150"/>
      <c r="F6" s="149" t="s">
        <v>251</v>
      </c>
      <c r="G6" s="149">
        <v>35.0</v>
      </c>
      <c r="H6" s="149" t="s">
        <v>240</v>
      </c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>
      <c r="C7" s="150"/>
      <c r="D7" s="150"/>
      <c r="E7" s="150"/>
      <c r="F7" s="149" t="s">
        <v>252</v>
      </c>
      <c r="G7" s="149">
        <v>67.0</v>
      </c>
      <c r="H7" s="149" t="s">
        <v>253</v>
      </c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>
      <c r="A9" s="151" t="s">
        <v>254</v>
      </c>
      <c r="B9" s="151" t="s">
        <v>255</v>
      </c>
      <c r="C9" s="151" t="s">
        <v>256</v>
      </c>
      <c r="D9" s="150"/>
      <c r="E9" s="150"/>
      <c r="F9" s="151" t="s">
        <v>257</v>
      </c>
      <c r="G9" s="151" t="s">
        <v>258</v>
      </c>
      <c r="H9" s="150"/>
      <c r="I9" s="152" t="s">
        <v>259</v>
      </c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>
      <c r="A10" s="149">
        <v>4.2</v>
      </c>
      <c r="B10" s="149" t="s">
        <v>260</v>
      </c>
      <c r="C10" s="149" t="s">
        <v>261</v>
      </c>
      <c r="D10" s="150"/>
      <c r="E10" s="150"/>
      <c r="F10" s="149" t="s">
        <v>262</v>
      </c>
      <c r="G10" s="149">
        <v>1.0</v>
      </c>
      <c r="H10" s="150"/>
      <c r="I10" s="153" t="s">
        <v>263</v>
      </c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>
      <c r="A11" s="149">
        <v>3.4</v>
      </c>
      <c r="B11" s="149" t="s">
        <v>264</v>
      </c>
      <c r="C11" s="149" t="s">
        <v>265</v>
      </c>
      <c r="D11" s="150"/>
      <c r="E11" s="150"/>
      <c r="F11" s="149" t="s">
        <v>266</v>
      </c>
      <c r="G11" s="149">
        <v>2.0</v>
      </c>
      <c r="H11" s="150"/>
      <c r="I11" s="153" t="s">
        <v>267</v>
      </c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>
      <c r="A12" s="149">
        <v>2.6</v>
      </c>
      <c r="B12" s="149" t="s">
        <v>264</v>
      </c>
      <c r="C12" s="149" t="s">
        <v>268</v>
      </c>
      <c r="D12" s="150"/>
      <c r="E12" s="150"/>
      <c r="F12" s="149" t="s">
        <v>269</v>
      </c>
      <c r="G12" s="149">
        <v>3.0</v>
      </c>
      <c r="H12" s="150"/>
      <c r="I12" s="153" t="s">
        <v>270</v>
      </c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>
      <c r="A13" s="149">
        <v>1.8</v>
      </c>
      <c r="B13" s="149" t="s">
        <v>271</v>
      </c>
      <c r="C13" s="149" t="s">
        <v>272</v>
      </c>
      <c r="D13" s="150"/>
      <c r="E13" s="150"/>
      <c r="F13" s="149" t="s">
        <v>273</v>
      </c>
      <c r="G13" s="149">
        <v>4.0</v>
      </c>
      <c r="H13" s="150"/>
      <c r="I13" s="153" t="s">
        <v>274</v>
      </c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>
      <c r="D14" s="150"/>
      <c r="E14" s="150"/>
      <c r="F14" s="149" t="s">
        <v>275</v>
      </c>
      <c r="G14" s="149">
        <v>5.0</v>
      </c>
      <c r="H14" s="150"/>
      <c r="I14" s="153" t="s">
        <v>276</v>
      </c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>
      <c r="D15" s="150"/>
      <c r="E15" s="150"/>
      <c r="F15" s="150"/>
      <c r="G15" s="150"/>
      <c r="H15" s="150"/>
      <c r="I15" s="153" t="s">
        <v>277</v>
      </c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>
      <c r="D16" s="150"/>
      <c r="E16" s="150"/>
      <c r="F16" s="150"/>
      <c r="G16" s="150"/>
      <c r="H16" s="150"/>
      <c r="I16" s="153" t="s">
        <v>278</v>
      </c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>
      <c r="D17" s="150"/>
      <c r="E17" s="150"/>
      <c r="F17" s="150"/>
      <c r="G17" s="150"/>
      <c r="H17" s="150"/>
      <c r="I17" s="153" t="s">
        <v>279</v>
      </c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>
      <c r="D18" s="150"/>
      <c r="E18" s="150"/>
      <c r="F18" s="150"/>
      <c r="G18" s="150"/>
      <c r="H18" s="150"/>
      <c r="I18" s="153" t="s">
        <v>280</v>
      </c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>
      <c r="D19" s="150"/>
      <c r="E19" s="150"/>
      <c r="F19" s="150"/>
      <c r="G19" s="150"/>
      <c r="H19" s="150"/>
      <c r="I19" s="153" t="s">
        <v>281</v>
      </c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>
      <c r="D20" s="150"/>
      <c r="E20" s="150"/>
      <c r="F20" s="150"/>
      <c r="G20" s="150"/>
      <c r="H20" s="150"/>
      <c r="I20" s="153" t="s">
        <v>94</v>
      </c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>
      <c r="A21" s="150"/>
      <c r="B21" s="150"/>
      <c r="C21" s="150"/>
      <c r="D21" s="150"/>
      <c r="E21" s="150"/>
      <c r="F21" s="150"/>
      <c r="G21" s="150"/>
      <c r="H21" s="150"/>
      <c r="I21" s="153" t="s">
        <v>282</v>
      </c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>
      <c r="D22" s="150"/>
      <c r="E22" s="150"/>
      <c r="F22" s="150"/>
      <c r="G22" s="150"/>
      <c r="H22" s="150"/>
      <c r="I22" s="153" t="s">
        <v>283</v>
      </c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>
      <c r="A27" s="150"/>
      <c r="B27" s="150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>
      <c r="C28" s="151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</sheetData>
  <drawing r:id="rId1"/>
</worksheet>
</file>