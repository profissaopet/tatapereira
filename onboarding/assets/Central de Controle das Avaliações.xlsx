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) Respostas ao formulário" sheetId="1" r:id="rId5"/>
    <sheet state="visible" name="2) Análise Anaminese" sheetId="2" r:id="rId6"/>
    <sheet state="visible" name="3) Ficha Técnica de Avaliação P" sheetId="3" r:id="rId7"/>
    <sheet state="visible" name="4) Registro Geral das Avaliaçõe" sheetId="4" r:id="rId8"/>
    <sheet state="hidden" name="Apoio" sheetId="5" r:id="rId9"/>
  </sheets>
  <definedNames>
    <definedName hidden="1" localSheetId="3" name="_xlnm._FilterDatabase">'4) Registro Geral das Avaliaçõe'!$B$14:$K$143</definedName>
  </definedNames>
  <calcPr/>
</workbook>
</file>

<file path=xl/sharedStrings.xml><?xml version="1.0" encoding="utf-8"?>
<sst xmlns="http://schemas.openxmlformats.org/spreadsheetml/2006/main" count="487" uniqueCount="372">
  <si>
    <t>Registro Geral das Avaliações</t>
  </si>
  <si>
    <t>Ficha Técnica de Avaliação Presencial</t>
  </si>
  <si>
    <t>Recomendação Automática</t>
  </si>
  <si>
    <t>Legenda das notas</t>
  </si>
  <si>
    <t>Nome do cão</t>
  </si>
  <si>
    <t>📋 Avaliações realizadas</t>
  </si>
  <si>
    <t>🟢 Aprovados</t>
  </si>
  <si>
    <t>🟡 Aprovados com restrições</t>
  </si>
  <si>
    <t>Column 103</t>
  </si>
  <si>
    <t>Não demonstrou ou apresentou comportamento inadequado.</t>
  </si>
  <si>
    <t>Responsável</t>
  </si>
  <si>
    <t>🟠 Nova avaliação</t>
  </si>
  <si>
    <t>Carimbo de data/hora</t>
  </si>
  <si>
    <t>Nome</t>
  </si>
  <si>
    <t xml:space="preserve">Email </t>
  </si>
  <si>
    <t>Telefone</t>
  </si>
  <si>
    <t>Usuário do Instagram</t>
  </si>
  <si>
    <t>🟢 Reprovados</t>
  </si>
  <si>
    <t>Raça</t>
  </si>
  <si>
    <t>Idade</t>
  </si>
  <si>
    <t>Castrado?</t>
  </si>
  <si>
    <t>Qual o seu maior problema com seu cão hoje?</t>
  </si>
  <si>
    <t>Gosta de farejar o chão ou cheirar coisas?</t>
  </si>
  <si>
    <t>❌ Desistências</t>
  </si>
  <si>
    <t>Persegue gatos, pássaros etc.?</t>
  </si>
  <si>
    <t>Persegue bicicletas, motos ou skates?</t>
  </si>
  <si>
    <t>Cava com frequência?</t>
  </si>
  <si>
    <t>🟢Entrou</t>
  </si>
  <si>
    <t>Procura seguir odores?</t>
  </si>
  <si>
    <t>Demonstrou com grande dificuldade.</t>
  </si>
  <si>
    <t>Já matou e comeu algum animal?</t>
  </si>
  <si>
    <t>Chacoalha e "mata" brinquedos?</t>
  </si>
  <si>
    <t>Data</t>
  </si>
  <si>
    <t>Come muito rápido?</t>
  </si>
  <si>
    <t>🟠Não Entrou</t>
  </si>
  <si>
    <t>Rouba comida ou lixo?</t>
  </si>
  <si>
    <t>Se esfrega em fezes ou odores fortes?</t>
  </si>
  <si>
    <t>Mordisca calcanhares?</t>
  </si>
  <si>
    <t>Encara pessoas ou cães?</t>
  </si>
  <si>
    <t>Transpõe obstáculos?</t>
  </si>
  <si>
    <t>Se agacha observando pessoas ou cães?</t>
  </si>
  <si>
    <t>Movimento de grupos chama atenção?</t>
  </si>
  <si>
    <t>Brinca perseguindo cães?</t>
  </si>
  <si>
    <t>Fica aflito quando alguém sai?</t>
  </si>
  <si>
    <t>Se inquieta com bicicletas ou crianças?</t>
  </si>
  <si>
    <t>Adora correr?</t>
  </si>
  <si>
    <t>Parece atento aos seus movimentos?</t>
  </si>
  <si>
    <t>Cão</t>
  </si>
  <si>
    <t>Resultado do avaliador</t>
  </si>
  <si>
    <t>Já matou algum cão ou aparenta querer matar?</t>
  </si>
  <si>
    <t>Plano recomendado</t>
  </si>
  <si>
    <t>Frequência</t>
  </si>
  <si>
    <t>Entrou?</t>
  </si>
  <si>
    <t>Avaliador</t>
  </si>
  <si>
    <t>Qual foi a recomendação automática</t>
  </si>
  <si>
    <t>Observações</t>
  </si>
  <si>
    <t>Demonstrou parcialmente, com ressalvas.</t>
  </si>
  <si>
    <t>Já matou e despedaçou algum cão?</t>
  </si>
  <si>
    <t>Possui ímpeto de brigar?</t>
  </si>
  <si>
    <t>Puxa a guia quando vê outro cão?</t>
  </si>
  <si>
    <t>Demonstrou de forma satisfatória.</t>
  </si>
  <si>
    <t>Interage de forma agressiva com outros cães?</t>
  </si>
  <si>
    <t>Tempo da avaliação</t>
  </si>
  <si>
    <t>Resiste em largar objetos?</t>
  </si>
  <si>
    <t>Chacoalha brinquedos de forma irritada?</t>
  </si>
  <si>
    <t>Tata Pereira</t>
  </si>
  <si>
    <t>Mastiga objetos com muita força?</t>
  </si>
  <si>
    <t>Demonstrou de forma consistente e segura.</t>
  </si>
  <si>
    <t>Eva</t>
  </si>
  <si>
    <t>Ataca outros cães sem sinais?</t>
  </si>
  <si>
    <t>Perseguiria cães para brigar?</t>
  </si>
  <si>
    <t>Late para pessoas no portão?</t>
  </si>
  <si>
    <t>Fica nervoso com movimentos externos?</t>
  </si>
  <si>
    <t>Vigia portas ou janelas?</t>
  </si>
  <si>
    <t>Age de forma agressiva no portão?</t>
  </si>
  <si>
    <t>Recepção e Entrada</t>
  </si>
  <si>
    <t>Precisa ser isolado para receber visitas?</t>
  </si>
  <si>
    <t>Fica nervoso com convidados?</t>
  </si>
  <si>
    <t>Late para convidados andando pela casa?</t>
  </si>
  <si>
    <t>Aprovado</t>
  </si>
  <si>
    <t>Trimestral</t>
  </si>
  <si>
    <t>1x na semana</t>
  </si>
  <si>
    <t>Sim</t>
  </si>
  <si>
    <t>Late no carro para pessoas?</t>
  </si>
  <si>
    <t>Tata</t>
  </si>
  <si>
    <t>Fica nervoso com campainha?</t>
  </si>
  <si>
    <t>Se importa com barulhos externos?</t>
  </si>
  <si>
    <t>Separação do responsável</t>
  </si>
  <si>
    <t xml:space="preserve"> APROVADO</t>
  </si>
  <si>
    <t>Gosta de carregar objetos?</t>
  </si>
  <si>
    <t>Cão tem medo mas sem agressão e demostrou uma boa recuperação emocial.</t>
  </si>
  <si>
    <t>Gosta de brinquedos em movimento?</t>
  </si>
  <si>
    <t>Traz brinquedos para brincar?</t>
  </si>
  <si>
    <t>Rachel</t>
  </si>
  <si>
    <t>Traz brinquedos para jogar?</t>
  </si>
  <si>
    <t>Lili</t>
  </si>
  <si>
    <t>Fica muito empolgado para brincar?</t>
  </si>
  <si>
    <t>Aprovado com restrição</t>
  </si>
  <si>
    <t>Mensal</t>
  </si>
  <si>
    <t>Corre atrás de pessoas por diversão?</t>
  </si>
  <si>
    <t>Entrada na empresa</t>
  </si>
  <si>
    <t>Corre desenfreadamente pela casa?</t>
  </si>
  <si>
    <t>REPROVAÇÃO</t>
  </si>
  <si>
    <t>Aprovação devido ao conhecimento do historico social do cão</t>
  </si>
  <si>
    <t>Procura brinquedos?</t>
  </si>
  <si>
    <t>Estado emocional inicial</t>
  </si>
  <si>
    <t>Convida outros cães para brincar?</t>
  </si>
  <si>
    <t>Qualquer objeto vira brinquedo?</t>
  </si>
  <si>
    <t>Joaquina</t>
  </si>
  <si>
    <t>Interesse pelo ambiente</t>
  </si>
  <si>
    <t>Paçoca</t>
  </si>
  <si>
    <t>Passa tranquilamente por cães?</t>
  </si>
  <si>
    <t>Nova avaliação</t>
  </si>
  <si>
    <t>Pesquisar:</t>
  </si>
  <si>
    <t>Vocalização</t>
  </si>
  <si>
    <t>Segue você pela casa?</t>
  </si>
  <si>
    <t>APROVADO COM RESTRIÇÕES</t>
  </si>
  <si>
    <t>Cão precisa de aulas de adestramento individual, depois na escola e ai sim refazer uma nova avaliação</t>
  </si>
  <si>
    <t>Permanece amigável com cães?</t>
  </si>
  <si>
    <t>Permanece amigável com pessoas?</t>
  </si>
  <si>
    <t>Manipulação</t>
  </si>
  <si>
    <t>Pede carinho?</t>
  </si>
  <si>
    <t>Relaxa ao ser penteado?</t>
  </si>
  <si>
    <t>Vem quando chamado?</t>
  </si>
  <si>
    <t>Brinca com pessoas desconhecidas?</t>
  </si>
  <si>
    <t>Brinca com cães desconhecidos?</t>
  </si>
  <si>
    <t>Permite retirar objetos da boca?</t>
  </si>
  <si>
    <t>Toque corporal</t>
  </si>
  <si>
    <t>Investe contra portões com cães?</t>
  </si>
  <si>
    <t>Quando inseguro, rosna ou morde?</t>
  </si>
  <si>
    <t>Patas</t>
  </si>
  <si>
    <t>Fica tenso com pessoas?</t>
  </si>
  <si>
    <t>Orelhas</t>
  </si>
  <si>
    <t>Fica tenso com cães?</t>
  </si>
  <si>
    <t>Joelma Ferreira |Duque</t>
  </si>
  <si>
    <t>Boca</t>
  </si>
  <si>
    <t>Rosna quando manipulado?</t>
  </si>
  <si>
    <t>Colocação/retirada da guia</t>
  </si>
  <si>
    <t>Rosna ao ser penteado?</t>
  </si>
  <si>
    <t>Parece proteger você?</t>
  </si>
  <si>
    <t>Aviso: nesta etapa da análise, basta pesquisar o nome do cão que você deseja analisar.</t>
  </si>
  <si>
    <t>Rosna para estranhos?</t>
  </si>
  <si>
    <t>Briga com cães desconhecidos?</t>
  </si>
  <si>
    <t>Passeio e Condução</t>
  </si>
  <si>
    <t>Faz posse de brinquedos ou comida?</t>
  </si>
  <si>
    <t>Tenta se afastar de portões com cães?</t>
  </si>
  <si>
    <t>Quando inseguro, foge ou grita?</t>
  </si>
  <si>
    <t>Evita cães?</t>
  </si>
  <si>
    <t>Evita pessoas?</t>
  </si>
  <si>
    <t xml:space="preserve">ANÁLISE COMPORTAMENTAL DO CÃO </t>
  </si>
  <si>
    <t>Tenta fugir quando manipulado?</t>
  </si>
  <si>
    <t>Caminhada</t>
  </si>
  <si>
    <t>Tenta fugir ao ser penteado?</t>
  </si>
  <si>
    <t>Persegue você como se fosse abandoná-lo?</t>
  </si>
  <si>
    <t>Tenta fugir de estranhos?</t>
  </si>
  <si>
    <t>Atenção ao condutor</t>
  </si>
  <si>
    <t>Evita cães desconhecidos?</t>
  </si>
  <si>
    <t>Reação aos estímulos</t>
  </si>
  <si>
    <t>Situações novas o deixam inquieto?</t>
  </si>
  <si>
    <t>Diminui o ritmo ao passar por cães?</t>
  </si>
  <si>
    <t>Recuperação emocional</t>
  </si>
  <si>
    <t>Quando inseguro fica imóvel?</t>
  </si>
  <si>
    <t>Fica imóvel diante de cães?</t>
  </si>
  <si>
    <t>Fica imóvel diante de pessoas?</t>
  </si>
  <si>
    <t>Interação Social</t>
  </si>
  <si>
    <t>Fica imóvel quando manipulado?</t>
  </si>
  <si>
    <t>Fica imóvel ao ser penteado?</t>
  </si>
  <si>
    <t>Fica travado quando se assusta?</t>
  </si>
  <si>
    <t>Se agacha e fica imóvel diante de estranhos?</t>
  </si>
  <si>
    <t>Fica tenso diante de cães desconhecidos?</t>
  </si>
  <si>
    <t>Fica muito quieto como se estivesse incomodado?</t>
  </si>
  <si>
    <t>Porque você acredita que a escola de cães pode te ajudar na educação do seu cão?</t>
  </si>
  <si>
    <t>Interação com pessoas</t>
  </si>
  <si>
    <t>CAÇA</t>
  </si>
  <si>
    <t>PASTOREIO</t>
  </si>
  <si>
    <t>PREDAÇÃO</t>
  </si>
  <si>
    <t>Interação com outros cães</t>
  </si>
  <si>
    <t>TERRITORIALISMO</t>
  </si>
  <si>
    <t>BRINCADEIRA</t>
  </si>
  <si>
    <t>Convite para brincar</t>
  </si>
  <si>
    <t>Comunicação corporal</t>
  </si>
  <si>
    <t>MATILHA</t>
  </si>
  <si>
    <t>Respeito aos sinais sociais</t>
  </si>
  <si>
    <t>LUTA</t>
  </si>
  <si>
    <t>DRIVES</t>
  </si>
  <si>
    <t>FUGA</t>
  </si>
  <si>
    <t>CONGELAMENTO</t>
  </si>
  <si>
    <t>Adaptação à Rotina</t>
  </si>
  <si>
    <t>PONTUAÇÃO</t>
  </si>
  <si>
    <t>Explorou o ambiente</t>
  </si>
  <si>
    <t>Adestramentotata@gmail.com</t>
  </si>
  <si>
    <t>Bebeu água</t>
  </si>
  <si>
    <t>@tata.educacao__</t>
  </si>
  <si>
    <t>Aceitou alimento</t>
  </si>
  <si>
    <t>Fez xixi</t>
  </si>
  <si>
    <t>Srd</t>
  </si>
  <si>
    <t>4 anos</t>
  </si>
  <si>
    <t>Fez cocô</t>
  </si>
  <si>
    <t>Castrado</t>
  </si>
  <si>
    <t>Conseguiu descansar</t>
  </si>
  <si>
    <t xml:space="preserve">Medo de pessoas e não gosta de passear </t>
  </si>
  <si>
    <t>Recuperou-se emocionalmente</t>
  </si>
  <si>
    <t>Não</t>
  </si>
  <si>
    <t>Comparação com a Anamnese</t>
  </si>
  <si>
    <t>Observação Geral</t>
  </si>
  <si>
    <t>O comportamento confirmou a anamnese?</t>
  </si>
  <si>
    <t>CLASSIFICAÇÃO</t>
  </si>
  <si>
    <t>O que mais chamou sua atenção?</t>
  </si>
  <si>
    <t>Quais comportamentos passariam despercebidos?</t>
  </si>
  <si>
    <t xml:space="preserve">ANÁLISE COMPORTAMENTAL COMPLETA </t>
  </si>
  <si>
    <t>PERFIL PREDOMINANTE</t>
  </si>
  <si>
    <t>O que será levado em consideração na tomada de decisão?</t>
  </si>
  <si>
    <t>DRIVE PREDOMINANTE:</t>
  </si>
  <si>
    <t xml:space="preserve">Quero que ela se relacione com outros cães e outras pessoas diferentes das quais ela já conhece. </t>
  </si>
  <si>
    <t>Recomendação do Avaliador</t>
  </si>
  <si>
    <t>joahcorrea@gmail.com</t>
  </si>
  <si>
    <t>@jjjkkkk</t>
  </si>
  <si>
    <t>Shihtzu</t>
  </si>
  <si>
    <t>7 anos</t>
  </si>
  <si>
    <t>Não Castrado</t>
  </si>
  <si>
    <t>Late pra tudo e todos, avança, territorialista</t>
  </si>
  <si>
    <t>A recomendação automática não substitui a avaliação técnica do profissional. A decisão final é de responsabilidade do avaliador.</t>
  </si>
  <si>
    <t>PERFIL SECUNDÁRIO</t>
  </si>
  <si>
    <t xml:space="preserve">Porque vai ajudar as pessoas que convivem com ele a também entenderem como lidar com cachorros. </t>
  </si>
  <si>
    <t>PERCEPÇÃO GERAL RESUMIDA</t>
  </si>
  <si>
    <t>Rachel Carla Lucas Linhares</t>
  </si>
  <si>
    <t>chel.adestra@gmail.com</t>
  </si>
  <si>
    <t>21 97643-5585</t>
  </si>
  <si>
    <t>@chel.adestra</t>
  </si>
  <si>
    <t>SRD</t>
  </si>
  <si>
    <t>2 anos</t>
  </si>
  <si>
    <t xml:space="preserve">Insegurança </t>
  </si>
  <si>
    <t>PONTOS DE ATENÇÃO</t>
  </si>
  <si>
    <t>Esta análise é baseada nas respostas do responsável e não substitui a avaliação prática do cão.</t>
  </si>
  <si>
    <t>Ajudar na socialização e para melhorar a reatividade dela</t>
  </si>
  <si>
    <t xml:space="preserve">Luiza Faria </t>
  </si>
  <si>
    <t>luizzafpereira@gmail.com</t>
  </si>
  <si>
    <t>@luizapfaria</t>
  </si>
  <si>
    <t xml:space="preserve">Julieta </t>
  </si>
  <si>
    <t xml:space="preserve">Dachshund </t>
  </si>
  <si>
    <t xml:space="preserve">1 ano e 2 meses </t>
  </si>
  <si>
    <t xml:space="preserve">Agitação e medo </t>
  </si>
  <si>
    <t>Acredito que na escola a Julieta consegue gastar sua energia de forma saudável, além de desenvolver uma melhor socialização com outros cães e com pessoas. Também acredito que esse ambiente pode ajudá-la a se sentir mais segura e confiante.</t>
  </si>
  <si>
    <t xml:space="preserve">Joyce Silva de Oliveira </t>
  </si>
  <si>
    <t>Joyceolvra52@gmail.com</t>
  </si>
  <si>
    <t>2196991-1298</t>
  </si>
  <si>
    <t>@_joyceolvra</t>
  </si>
  <si>
    <t>Zé Pequeno</t>
  </si>
  <si>
    <t xml:space="preserve">Chihuahua </t>
  </si>
  <si>
    <t>1 ano e 6 meses</t>
  </si>
  <si>
    <t>Aproximadamente com outros cachorros em passeios na rua.</t>
  </si>
  <si>
    <t>Melhora no bem-estar e convivência com outros cães.</t>
  </si>
  <si>
    <t>21 96991-1298</t>
  </si>
  <si>
    <t xml:space="preserve">Bené </t>
  </si>
  <si>
    <t>11 meses</t>
  </si>
  <si>
    <t>Entrada de pessoas em casa.</t>
  </si>
  <si>
    <t>Atividades mentais e físicas, e mantê-lo equilibrado.</t>
  </si>
  <si>
    <t>Tereza Cristina Cruz</t>
  </si>
  <si>
    <t>cristiccruz@gmail.com</t>
  </si>
  <si>
    <t>tcbcc24</t>
  </si>
  <si>
    <t>Luna</t>
  </si>
  <si>
    <t>3 a 7 m</t>
  </si>
  <si>
    <t>A sua doença, diabetes</t>
  </si>
  <si>
    <t>Lúdico e social: 67 + 58 = 125</t>
  </si>
  <si>
    <t>Perfil analisado</t>
  </si>
  <si>
    <t>Cálculo</t>
  </si>
  <si>
    <t>A</t>
  </si>
  <si>
    <t>B</t>
  </si>
  <si>
    <t>C</t>
  </si>
  <si>
    <t>Inseguro e sensível: 55 + 67 = 122</t>
  </si>
  <si>
    <t>Lúdico e social</t>
  </si>
  <si>
    <t>Brincadeira + Matilha</t>
  </si>
  <si>
    <t>Drive</t>
  </si>
  <si>
    <t>Pontuação</t>
  </si>
  <si>
    <t>Classificação</t>
  </si>
  <si>
    <t>Predatório e perseguidor: 31 + 6 = 37</t>
  </si>
  <si>
    <t>Inseguro e sensível</t>
  </si>
  <si>
    <t>Fuga + Congelamento</t>
  </si>
  <si>
    <t>Caça</t>
  </si>
  <si>
    <t>Baixo</t>
  </si>
  <si>
    <t>Territorial e confrontador: 35 + 7 = 42</t>
  </si>
  <si>
    <t>Predatório e perseguidor</t>
  </si>
  <si>
    <t>Caça + Predação</t>
  </si>
  <si>
    <t>Pastoreio</t>
  </si>
  <si>
    <t>Controlador de movimento: 34 × 2 = 68</t>
  </si>
  <si>
    <t>Territorial e confrontador</t>
  </si>
  <si>
    <t>Territorialismo + Luta</t>
  </si>
  <si>
    <t>Predação</t>
  </si>
  <si>
    <t>Muito baixo</t>
  </si>
  <si>
    <t>Controlador de movimento</t>
  </si>
  <si>
    <t>Pela experiência da equipe no manejo com as dificuldades dos cães e na leitura comportamental.</t>
  </si>
  <si>
    <t>Territorialismo</t>
  </si>
  <si>
    <t>Brincadeira</t>
  </si>
  <si>
    <t>Alto</t>
  </si>
  <si>
    <t>Média</t>
  </si>
  <si>
    <t>Estrelas</t>
  </si>
  <si>
    <t>Interpretação</t>
  </si>
  <si>
    <t>Significado</t>
  </si>
  <si>
    <t>Nota</t>
  </si>
  <si>
    <t>Ordem de prioridade da decisão</t>
  </si>
  <si>
    <t>★★★★☆</t>
  </si>
  <si>
    <t>Excelente</t>
  </si>
  <si>
    <t>Não demonstrou / comportamento inadequado para o critério avaliado.</t>
  </si>
  <si>
    <t>Risco → Reprovação</t>
  </si>
  <si>
    <t>Jade</t>
  </si>
  <si>
    <t>★★★☆☆</t>
  </si>
  <si>
    <t>Boa</t>
  </si>
  <si>
    <t>3a7m</t>
  </si>
  <si>
    <t>Demonstrou de forma muito limitada ou com grande dificuldade.</t>
  </si>
  <si>
    <t>Manipulação (C16) &lt; 2.</t>
  </si>
  <si>
    <t>Socialização com outros animais ( de casa e na rua) e visitas</t>
  </si>
  <si>
    <t>Atenção</t>
  </si>
  <si>
    <t>Demonstrou parcialmente, com algumas ressalvas.</t>
  </si>
  <si>
    <t>Interação com pessoas (C30) ≤ 2.</t>
  </si>
  <si>
    <t>★★☆☆☆</t>
  </si>
  <si>
    <t>Crítica</t>
  </si>
  <si>
    <t>Demonstrou de forma satisfatória durante a maior parte da avaliação.</t>
  </si>
  <si>
    <t>Interação com cães (C31) ≤ 2.</t>
  </si>
  <si>
    <t>Demonstrou de forma consistente, adequada e segura durante toda a avaliação</t>
  </si>
  <si>
    <t>Adaptação → Nova avaliação</t>
  </si>
  <si>
    <t>Adaptação ao ambiente (C36) &lt; 2.</t>
  </si>
  <si>
    <t>Ressalvas → Aprovado com restrições</t>
  </si>
  <si>
    <t>Manipulação entre 2 e 2,99.</t>
  </si>
  <si>
    <t>Adaptação entre 2 e 2,99.</t>
  </si>
  <si>
    <t>Média geral entre 3 e 3,99.</t>
  </si>
  <si>
    <t>Média geral ≥ 4.</t>
  </si>
  <si>
    <t>Nenhum fator crítico.</t>
  </si>
  <si>
    <t>Socialização Com Outros cães e  interagir com Pessoas fora de casa.</t>
  </si>
  <si>
    <t xml:space="preserve">Milla souza </t>
  </si>
  <si>
    <t>Millalima051@gmail.com</t>
  </si>
  <si>
    <t>@ohmillasouza</t>
  </si>
  <si>
    <t xml:space="preserve">Dumbo </t>
  </si>
  <si>
    <t xml:space="preserve">Sdr </t>
  </si>
  <si>
    <t xml:space="preserve">1 ano </t>
  </si>
  <si>
    <t xml:space="preserve">A euforia ao ver outro cachorro na rua </t>
  </si>
  <si>
    <t xml:space="preserve">A escola me ajuda a reeducar meus comportamentos para lidar com o dia a dia do meu pet, dessa forma, consigo ter um cão mais equilibrado dentro de casa </t>
  </si>
  <si>
    <t xml:space="preserve">Lusinete dos Santos Cobe </t>
  </si>
  <si>
    <t>lusinetebarbosa1971@gmail.com</t>
  </si>
  <si>
    <t>(21)997204800</t>
  </si>
  <si>
    <t xml:space="preserve">Não </t>
  </si>
  <si>
    <t xml:space="preserve">Zaion </t>
  </si>
  <si>
    <t xml:space="preserve">Buldogue com vira lata </t>
  </si>
  <si>
    <t xml:space="preserve">7 Meses </t>
  </si>
  <si>
    <t xml:space="preserve">Desobediência </t>
  </si>
  <si>
    <t xml:space="preserve">Porque eu acho que ele pode melhorar o seu comportamento </t>
  </si>
  <si>
    <t xml:space="preserve">Sergio Vinícius Alves Barros </t>
  </si>
  <si>
    <t>sergiovinicius.ab@gmail.com</t>
  </si>
  <si>
    <t>Sergioviniciusab</t>
  </si>
  <si>
    <t>Martín Silva</t>
  </si>
  <si>
    <t>Fox terrier Paulistinha</t>
  </si>
  <si>
    <t xml:space="preserve">Come cocô </t>
  </si>
  <si>
    <t>Passeio, hobby faro, comer mais devagar, evitar comer coco.</t>
  </si>
  <si>
    <t>Heloisa Pisa</t>
  </si>
  <si>
    <t>Hspisa@gmail.com</t>
  </si>
  <si>
    <t>@hspisa</t>
  </si>
  <si>
    <t>Olívia</t>
  </si>
  <si>
    <t>Pastor australiano</t>
  </si>
  <si>
    <t>1 ano</t>
  </si>
  <si>
    <t>Dificuldade para passear, regular euforia com pessoas novas na casa</t>
  </si>
  <si>
    <t>Para ajudar o cão a ter mais autocontrole, dosando as emoções tanto na rua quanto em situações de euforia (ex, visitas em casa). Ajuda o cão a ter um espaço de interação com outros cães.</t>
  </si>
  <si>
    <t xml:space="preserve">Barbara Menezes </t>
  </si>
  <si>
    <t>barbara.menezes04@gmail.com</t>
  </si>
  <si>
    <t>Poliana</t>
  </si>
  <si>
    <t>Não responder a comandos quando está com medo. Ao ter medo ou chora ou ataca</t>
  </si>
  <si>
    <t>Por conhecer a necessidade dele.</t>
  </si>
  <si>
    <t xml:space="preserve">Joelma Ferreira </t>
  </si>
  <si>
    <t>joelmafsfernandes@yahoo.com.br</t>
  </si>
  <si>
    <t>Duque</t>
  </si>
  <si>
    <t xml:space="preserve">Vira lata </t>
  </si>
  <si>
    <t>9 anos</t>
  </si>
  <si>
    <t>Destrói a casa quando fica sozinho.</t>
  </si>
  <si>
    <t xml:space="preserve">Para reduzir a ansiedade e hiperapego.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</si>
</sst>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m/d/yyyy h:mm:ss"/>
  </numFmts>
  <fonts count="29">
    <font>
      <sz val="10.0"/>
      <color rgb="FF000000"/>
      <name val="Arial"/>
      <scheme val="minor"/>
    </font>
    <font>
      <color theme="1"/>
      <name val="Comfortaa"/>
    </font>
    <font>
      <sz val="12.0"/>
      <color theme="1"/>
      <name val="Comfortaa"/>
    </font>
    <font>
      <b/>
      <sz val="12.0"/>
      <color rgb="FFFFD966"/>
      <name val="Comfortaa"/>
    </font>
    <font/>
    <font>
      <b/>
      <sz val="12.0"/>
      <color rgb="FFF1C232"/>
      <name val="Comfortaa"/>
    </font>
    <font>
      <b/>
      <sz val="12.0"/>
      <color rgb="FF0C343D"/>
      <name val="Comfortaa"/>
    </font>
    <font>
      <b/>
      <i/>
      <sz val="12.0"/>
      <color rgb="FFF1C232"/>
      <name val="Comfortaa"/>
    </font>
    <font>
      <b/>
      <color theme="1"/>
      <name val="Comfortaa"/>
    </font>
    <font>
      <sz val="10.0"/>
      <color rgb="FF000000"/>
      <name val="Comfortaa"/>
    </font>
    <font>
      <b/>
      <sz val="13.0"/>
      <color theme="1"/>
      <name val="Comfortaa"/>
    </font>
    <font>
      <sz val="12.0"/>
      <color rgb="FFFFFFFF"/>
      <name val="Comfortaa"/>
    </font>
    <font>
      <i/>
      <sz val="10.0"/>
      <color theme="1"/>
      <name val="Arial"/>
      <scheme val="minor"/>
    </font>
    <font>
      <b/>
      <sz val="20.0"/>
      <color theme="1"/>
      <name val="Comfortaa"/>
    </font>
    <font>
      <sz val="12.0"/>
      <color rgb="FF000000"/>
      <name val="Comfortaa"/>
    </font>
    <font>
      <color theme="1"/>
      <name val="Arial"/>
      <scheme val="minor"/>
    </font>
    <font>
      <b/>
      <sz val="12.0"/>
      <color theme="1"/>
      <name val="Comfortaa"/>
    </font>
    <font>
      <i/>
      <sz val="12.0"/>
      <color rgb="FF1155CC"/>
      <name val="Comfortaa"/>
    </font>
    <font>
      <b/>
      <color rgb="FFFFD966"/>
      <name val="Comfortaa"/>
    </font>
    <font>
      <b/>
      <sz val="12.0"/>
      <color rgb="FF000000"/>
      <name val="Comfortaa"/>
    </font>
    <font>
      <sz val="11.0"/>
      <color theme="1"/>
      <name val="Comfortaa"/>
    </font>
    <font>
      <i/>
      <color theme="1"/>
      <name val="Comfortaa"/>
    </font>
    <font>
      <i/>
      <sz val="10.0"/>
      <color rgb="FF1155CC"/>
      <name val="Comfortaa"/>
    </font>
    <font>
      <b/>
      <sz val="12.0"/>
      <color rgb="FFFF0000"/>
      <name val="Comfortaa"/>
    </font>
    <font>
      <sz val="12.0"/>
      <color theme="1"/>
      <name val="Arial"/>
      <scheme val="minor"/>
    </font>
    <font>
      <b/>
      <sz val="11.0"/>
      <color rgb="FFFFD966"/>
      <name val="Comfortaa"/>
    </font>
    <font>
      <sz val="10.0"/>
      <color theme="1"/>
      <name val="Arial"/>
    </font>
    <font>
      <b/>
      <sz val="10.0"/>
      <color theme="1"/>
      <name val="Arial"/>
    </font>
    <font>
      <color rgb="FF434343"/>
      <name val="Comfortaa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CC4125"/>
        <bgColor rgb="FFCC4125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7F6000"/>
        <bgColor rgb="FF7F6000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F8F9FA"/>
        <bgColor rgb="FFF8F9FA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left"/>
    </xf>
    <xf borderId="0" fillId="2" fontId="2" numFmtId="0" xfId="0" applyFill="1" applyFont="1"/>
    <xf borderId="1" fillId="3" fontId="3" numFmtId="0" xfId="0" applyAlignment="1" applyBorder="1" applyFill="1" applyFont="1">
      <alignment readingOrder="0" vertical="center"/>
    </xf>
    <xf borderId="2" fillId="0" fontId="4" numFmtId="0" xfId="0" applyBorder="1" applyFont="1"/>
    <xf borderId="3" fillId="4" fontId="5" numFmtId="0" xfId="0" applyAlignment="1" applyBorder="1" applyFill="1" applyFont="1">
      <alignment readingOrder="0" shrinkToFit="0" vertical="bottom" wrapText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6" numFmtId="0" xfId="0" applyAlignment="1" applyBorder="1" applyFont="1">
      <alignment horizontal="center" readingOrder="0" vertical="center"/>
    </xf>
    <xf borderId="7" fillId="0" fontId="4" numFmtId="0" xfId="0" applyBorder="1" applyFont="1"/>
    <xf borderId="0" fillId="2" fontId="7" numFmtId="0" xfId="0" applyAlignment="1" applyFill="1" applyFont="1">
      <alignment readingOrder="0" shrinkToFit="0" vertical="bottom" wrapText="0"/>
    </xf>
    <xf borderId="8" fillId="0" fontId="4" numFmtId="0" xfId="0" applyBorder="1" applyFont="1"/>
    <xf borderId="3" fillId="4" fontId="7" numFmtId="0" xfId="0" applyAlignment="1" applyBorder="1" applyFill="1" applyFont="1">
      <alignment readingOrder="0" shrinkToFit="0" vertical="bottom" wrapText="0"/>
    </xf>
    <xf borderId="0" fillId="0" fontId="8" numFmtId="0" xfId="0" applyFont="1"/>
    <xf borderId="9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readingOrder="0"/>
    </xf>
    <xf borderId="0" fillId="2" fontId="8" numFmtId="0" xfId="0" applyAlignment="1" applyFill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/>
    </xf>
    <xf borderId="12" fillId="0" fontId="8" numFmtId="10" xfId="0" applyAlignment="1" applyBorder="1" applyFont="1" applyNumberFormat="1">
      <alignment horizontal="center" readingOrder="0"/>
    </xf>
    <xf borderId="13" fillId="0" fontId="8" numFmtId="0" xfId="0" applyAlignment="1" applyBorder="1" applyFont="1">
      <alignment readingOrder="0"/>
    </xf>
    <xf borderId="14" fillId="0" fontId="11" numFmtId="0" xfId="0" applyBorder="1" applyFont="1"/>
    <xf borderId="9" fillId="0" fontId="8" numFmtId="0" xfId="0" applyAlignment="1" applyBorder="1" applyFont="1">
      <alignment horizontal="center"/>
    </xf>
    <xf borderId="15" fillId="0" fontId="2" numFmtId="0" xfId="0" applyBorder="1" applyFont="1"/>
    <xf borderId="0" fillId="2" fontId="12" numFmtId="0" xfId="0" applyAlignment="1" applyFill="1" applyFont="1">
      <alignment readingOrder="0"/>
    </xf>
    <xf borderId="16" fillId="0" fontId="8" numFmtId="10" xfId="0" applyAlignment="1" applyBorder="1" applyFont="1" applyNumberFormat="1">
      <alignment horizontal="center" readingOrder="0"/>
    </xf>
    <xf borderId="9" fillId="0" fontId="12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/>
    </xf>
    <xf borderId="14" fillId="0" fontId="13" numFmtId="0" xfId="0" applyAlignment="1" applyBorder="1" applyFont="1">
      <alignment horizontal="center" vertical="center"/>
    </xf>
    <xf borderId="15" fillId="0" fontId="4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14" fillId="0" fontId="4" numFmtId="0" xfId="0" applyBorder="1" applyFont="1"/>
    <xf borderId="17" fillId="0" fontId="8" numFmtId="0" xfId="0" applyAlignment="1" applyBorder="1" applyFont="1">
      <alignment readingOrder="0"/>
    </xf>
    <xf borderId="18" fillId="0" fontId="8" numFmtId="0" xfId="0" applyAlignment="1" applyBorder="1" applyFont="1">
      <alignment horizontal="center"/>
    </xf>
    <xf borderId="19" fillId="0" fontId="8" numFmtId="10" xfId="0" applyAlignment="1" applyBorder="1" applyFont="1" applyNumberFormat="1">
      <alignment horizontal="center" readingOrder="0"/>
    </xf>
    <xf borderId="0" fillId="5" fontId="1" numFmtId="0" xfId="0" applyAlignment="1" applyFill="1" applyFont="1">
      <alignment horizontal="center" readingOrder="0" shrinkToFit="0" vertical="center" wrapText="0"/>
    </xf>
    <xf borderId="14" fillId="0" fontId="14" numFmtId="0" xfId="0" applyAlignment="1" applyBorder="1" applyFont="1">
      <alignment horizontal="center" vertical="center"/>
    </xf>
    <xf borderId="9" fillId="0" fontId="9" numFmtId="164" xfId="0" applyAlignment="1" applyBorder="1" applyFont="1" applyNumberFormat="1">
      <alignment horizontal="left" readingOrder="0" shrinkToFit="0" vertical="bottom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7" fillId="2" fontId="3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20" fillId="3" fontId="3" numFmtId="0" xfId="0" applyAlignment="1" applyBorder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0"/>
    </xf>
    <xf borderId="5" fillId="3" fontId="3" numFmtId="0" xfId="0" applyAlignment="1" applyBorder="1" applyFill="1" applyFont="1">
      <alignment horizontal="center" readingOrder="0" shrinkToFit="0" vertical="center" wrapText="1"/>
    </xf>
    <xf borderId="0" fillId="8" fontId="1" numFmtId="165" xfId="0" applyAlignment="1" applyFill="1" applyFont="1" applyNumberFormat="1">
      <alignment horizontal="center" readingOrder="0" shrinkToFit="0" vertical="center" wrapText="1"/>
    </xf>
    <xf borderId="0" fillId="2" fontId="12" numFmtId="0" xfId="0" applyAlignment="1" applyFill="1" applyFont="1">
      <alignment readingOrder="0" shrinkToFit="0" vertical="center" wrapText="1"/>
    </xf>
    <xf borderId="0" fillId="8" fontId="1" numFmtId="0" xfId="0" applyAlignment="1" applyFill="1" applyFont="1">
      <alignment horizontal="center" readingOrder="0" vertical="center"/>
    </xf>
    <xf borderId="9" fillId="0" fontId="12" numFmtId="0" xfId="0" applyAlignment="1" applyBorder="1" applyFont="1">
      <alignment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vertical="center"/>
    </xf>
    <xf borderId="0" fillId="0" fontId="14" numFmtId="0" xfId="0" applyAlignment="1" applyFont="1">
      <alignment shrinkToFit="0" vertical="bottom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0" fontId="14" numFmtId="0" xfId="0" applyAlignment="1" applyFont="1">
      <alignment horizontal="left" shrinkToFit="0" vertical="bottom" wrapText="0"/>
    </xf>
    <xf borderId="0" fillId="2" fontId="15" numFmtId="0" xfId="0" applyFill="1" applyFont="1"/>
    <xf borderId="5" fillId="4" fontId="5" numFmtId="0" xfId="0" applyAlignment="1" applyBorder="1" applyFill="1" applyFont="1">
      <alignment horizontal="center" readingOrder="0" shrinkToFit="0" vertical="bottom" wrapText="0"/>
    </xf>
    <xf borderId="3" fillId="0" fontId="16" numFmtId="0" xfId="0" applyAlignment="1" applyBorder="1" applyFont="1">
      <alignment readingOrder="0" vertical="center"/>
    </xf>
    <xf borderId="20" fillId="0" fontId="4" numFmtId="0" xfId="0" applyBorder="1" applyFont="1"/>
    <xf borderId="0" fillId="10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0" fillId="2" fontId="1" numFmtId="165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Fill="1" applyFont="1"/>
    <xf borderId="1" fillId="0" fontId="17" numFmtId="0" xfId="0" applyAlignment="1" applyBorder="1" applyFont="1">
      <alignment readingOrder="0" shrinkToFit="0" vertical="center" wrapText="1"/>
    </xf>
    <xf borderId="0" fillId="2" fontId="18" numFmtId="0" xfId="0" applyAlignment="1" applyFill="1" applyFont="1">
      <alignment horizontal="center" readingOrder="0"/>
    </xf>
    <xf borderId="0" fillId="2" fontId="18" numFmtId="0" xfId="0" applyAlignment="1" applyFill="1" applyFont="1">
      <alignment horizontal="left" readingOrder="0"/>
    </xf>
    <xf borderId="0" fillId="11" fontId="1" numFmtId="0" xfId="0" applyAlignment="1" applyFill="1" applyFont="1">
      <alignment horizontal="center" readingOrder="0" shrinkToFit="0" vertical="center" wrapText="0"/>
    </xf>
    <xf borderId="9" fillId="12" fontId="8" numFmtId="0" xfId="0" applyAlignment="1" applyBorder="1" applyFill="1" applyFont="1">
      <alignment horizontal="right" readingOrder="0" vertical="center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shrinkToFit="0" vertical="center" wrapText="1"/>
    </xf>
    <xf borderId="0" fillId="8" fontId="1" numFmtId="0" xfId="0" applyAlignment="1" applyFill="1" applyFont="1">
      <alignment horizontal="center" vertical="center"/>
    </xf>
    <xf borderId="0" fillId="13" fontId="1" numFmtId="0" xfId="0" applyAlignment="1" applyFill="1" applyFont="1">
      <alignment horizontal="center" readingOrder="0" shrinkToFit="0" vertical="center" wrapText="0"/>
    </xf>
    <xf borderId="3" fillId="12" fontId="8" numFmtId="0" xfId="0" applyAlignment="1" applyBorder="1" applyFill="1" applyFont="1">
      <alignment readingOrder="0" vertical="center"/>
    </xf>
    <xf borderId="3" fillId="8" fontId="19" numFmtId="0" xfId="0" applyAlignment="1" applyBorder="1" applyFill="1" applyFont="1">
      <alignment horizontal="center" readingOrder="0" vertical="center"/>
    </xf>
    <xf borderId="0" fillId="14" fontId="1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0" fillId="15" fontId="1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5" fontId="16" numFmtId="0" xfId="0" applyAlignment="1" applyFill="1" applyFont="1">
      <alignment horizontal="center" readingOrder="0" shrinkToFit="0" vertical="center" wrapText="0"/>
    </xf>
    <xf borderId="1" fillId="0" fontId="17" numFmtId="0" xfId="0" applyAlignment="1" applyBorder="1" applyFont="1">
      <alignment shrinkToFit="0" vertical="center" wrapText="1"/>
    </xf>
    <xf borderId="0" fillId="2" fontId="1" numFmtId="0" xfId="0" applyAlignment="1" applyFill="1" applyFont="1">
      <alignment horizontal="center" readingOrder="0"/>
    </xf>
    <xf borderId="0" fillId="6" fontId="16" numFmtId="0" xfId="0" applyAlignment="1" applyFill="1" applyFont="1">
      <alignment horizontal="center" readingOrder="0" shrinkToFit="0" vertical="center" wrapText="0"/>
    </xf>
    <xf borderId="0" fillId="2" fontId="20" numFmtId="0" xfId="0" applyAlignment="1" applyFill="1" applyFont="1">
      <alignment horizontal="center" readingOrder="0" vertical="bottom"/>
    </xf>
    <xf borderId="0" fillId="7" fontId="16" numFmtId="0" xfId="0" applyAlignment="1" applyFill="1" applyFont="1">
      <alignment horizontal="center" readingOrder="0" shrinkToFit="0" vertical="center" wrapText="0"/>
    </xf>
    <xf borderId="0" fillId="9" fontId="16" numFmtId="0" xfId="0" applyAlignment="1" applyFill="1" applyFont="1">
      <alignment horizontal="center" readingOrder="0" shrinkToFit="0" vertical="center" wrapText="0"/>
    </xf>
    <xf borderId="0" fillId="10" fontId="19" numFmtId="0" xfId="0" applyAlignment="1" applyFill="1" applyFont="1">
      <alignment horizontal="center" readingOrder="0" shrinkToFit="0" vertical="center" wrapText="0"/>
    </xf>
    <xf borderId="0" fillId="11" fontId="16" numFmtId="0" xfId="0" applyAlignment="1" applyFill="1" applyFont="1">
      <alignment horizontal="center" readingOrder="0" shrinkToFit="0" vertical="center" wrapText="0"/>
    </xf>
    <xf borderId="0" fillId="16" fontId="16" numFmtId="0" xfId="0" applyAlignment="1" applyFill="1" applyFont="1">
      <alignment horizontal="center" readingOrder="0" shrinkToFit="0" vertical="center" wrapText="0"/>
    </xf>
    <xf borderId="9" fillId="3" fontId="3" numFmtId="0" xfId="0" applyAlignment="1" applyBorder="1" applyFill="1" applyFont="1">
      <alignment horizontal="left" readingOrder="0" vertical="center"/>
    </xf>
    <xf borderId="0" fillId="14" fontId="16" numFmtId="0" xfId="0" applyAlignment="1" applyFill="1" applyFont="1">
      <alignment horizontal="center" readingOrder="0" shrinkToFit="0" vertical="center" wrapText="0"/>
    </xf>
    <xf borderId="0" fillId="17" fontId="16" numFmtId="0" xfId="0" applyAlignment="1" applyFill="1" applyFont="1">
      <alignment horizontal="center" readingOrder="0" shrinkToFit="0" vertical="center" wrapText="0"/>
    </xf>
    <xf borderId="9" fillId="18" fontId="2" numFmtId="0" xfId="0" applyAlignment="1" applyBorder="1" applyFill="1" applyFont="1">
      <alignment horizontal="center" readingOrder="0" vertical="center"/>
    </xf>
    <xf borderId="9" fillId="19" fontId="2" numFmtId="0" xfId="0" applyAlignment="1" applyBorder="1" applyFill="1" applyFont="1">
      <alignment horizontal="center" readingOrder="0" vertical="center"/>
    </xf>
    <xf borderId="9" fillId="18" fontId="2" numFmtId="0" xfId="0" applyAlignment="1" applyBorder="1" applyFill="1" applyFont="1">
      <alignment horizontal="center" readingOrder="0" vertical="center"/>
    </xf>
    <xf borderId="0" fillId="20" fontId="1" numFmtId="0" xfId="0" applyAlignment="1" applyFill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9" fillId="2" fontId="2" numFmtId="0" xfId="0" applyAlignment="1" applyBorder="1" applyFill="1" applyFont="1">
      <alignment horizontal="center" readingOrder="0" vertical="center"/>
    </xf>
    <xf borderId="0" fillId="4" fontId="5" numFmtId="0" xfId="0" applyAlignment="1" applyFill="1" applyFont="1">
      <alignment readingOrder="0" shrinkToFit="0" vertical="bottom" wrapText="0"/>
    </xf>
    <xf borderId="0" fillId="0" fontId="21" numFmtId="0" xfId="0" applyAlignment="1" applyFont="1">
      <alignment readingOrder="0" vertical="center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1" fillId="0" fontId="22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9" fillId="0" fontId="2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readingOrder="0"/>
    </xf>
    <xf borderId="3" fillId="21" fontId="3" numFmtId="0" xfId="0" applyAlignment="1" applyBorder="1" applyFill="1" applyFont="1">
      <alignment readingOrder="0"/>
    </xf>
    <xf borderId="0" fillId="0" fontId="8" numFmtId="0" xfId="0" applyAlignment="1" applyFont="1">
      <alignment horizontal="center" readingOrder="0"/>
    </xf>
    <xf borderId="1" fillId="0" fontId="20" numFmtId="0" xfId="0" applyAlignment="1" applyBorder="1" applyFont="1">
      <alignment shrinkToFit="0" vertical="center" wrapText="1"/>
    </xf>
    <xf borderId="2" fillId="0" fontId="20" numFmtId="0" xfId="0" applyAlignment="1" applyBorder="1" applyFont="1">
      <alignment shrinkToFit="0" vertical="center" wrapText="1"/>
    </xf>
    <xf borderId="4" fillId="0" fontId="20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horizontal="left" vertical="center"/>
    </xf>
    <xf borderId="0" fillId="0" fontId="1" numFmtId="0" xfId="0" applyAlignment="1" applyFont="1">
      <alignment horizontal="center" readingOrder="0"/>
    </xf>
    <xf borderId="14" fillId="0" fontId="20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20" fontId="1" numFmtId="0" xfId="0" applyAlignment="1" applyFill="1" applyFont="1">
      <alignment horizontal="center" readingOrder="0" vertical="center"/>
    </xf>
    <xf borderId="0" fillId="20" fontId="1" numFmtId="0" xfId="0" applyAlignment="1" applyFill="1" applyFont="1">
      <alignment horizontal="center" vertical="center"/>
    </xf>
    <xf borderId="14" fillId="0" fontId="20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15" fillId="0" fontId="20" numFmtId="0" xfId="0" applyAlignment="1" applyBorder="1" applyFont="1">
      <alignment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4" fillId="0" fontId="23" numFmtId="0" xfId="0" applyAlignment="1" applyBorder="1" applyFont="1">
      <alignment horizontal="center" readingOrder="0" shrinkToFit="0" vertical="center" wrapText="1"/>
    </xf>
    <xf borderId="0" fillId="0" fontId="24" numFmtId="0" xfId="0" applyFont="1"/>
    <xf borderId="1" fillId="0" fontId="20" numFmtId="0" xfId="0" applyAlignment="1" applyBorder="1" applyFont="1">
      <alignment horizontal="left" shrinkToFit="0" vertical="center" wrapText="1"/>
    </xf>
    <xf borderId="3" fillId="21" fontId="25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6" fillId="21" fontId="3" numFmtId="0" xfId="0" applyAlignment="1" applyBorder="1" applyFill="1" applyFont="1">
      <alignment readingOrder="0"/>
    </xf>
    <xf borderId="1" fillId="2" fontId="20" numFmtId="0" xfId="0" applyAlignment="1" applyBorder="1" applyFill="1" applyFont="1">
      <alignment horizontal="left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20" fontId="1" numFmtId="0" xfId="0" applyAlignment="1" applyFill="1" applyFont="1">
      <alignment horizontal="center" shrinkToFit="0" vertical="center" wrapText="0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0" fontId="26" numFmtId="0" xfId="0" applyAlignment="1" applyFont="1">
      <alignment readingOrder="0"/>
    </xf>
    <xf borderId="21" fillId="22" fontId="28" numFmtId="166" xfId="0" applyAlignment="1" applyBorder="1" applyFill="1" applyFont="1" applyNumberFormat="1">
      <alignment horizontal="center" shrinkToFit="0" vertical="center" wrapText="0"/>
    </xf>
    <xf borderId="21" fillId="22" fontId="2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1) Respostas ao formulá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Análise Comportamental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'2) Análise Anaminese'!$B$8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'2) Análise Anaminese'!$C$7:$K$7</c:f>
            </c:strRef>
          </c:cat>
          <c:val>
            <c:numRef>
              <c:f>'2) Análise Anaminese'!$C$8:$K$8</c:f>
              <c:numCache/>
            </c:numRef>
          </c:val>
        </c:ser>
        <c:axId val="1751697620"/>
        <c:axId val="253809162"/>
      </c:barChart>
      <c:catAx>
        <c:axId val="1751697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809162"/>
      </c:catAx>
      <c:valAx>
        <c:axId val="253809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697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45</xdr:row>
      <xdr:rowOff>28575</xdr:rowOff>
    </xdr:from>
    <xdr:ext cx="11658600" cy="4524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58</xdr:row>
      <xdr:rowOff>200025</xdr:rowOff>
    </xdr:from>
    <xdr:ext cx="4857750" cy="1628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7</xdr:row>
      <xdr:rowOff>161925</xdr:rowOff>
    </xdr:from>
    <xdr:ext cx="4857750" cy="1628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X16" displayName="Form_Responses" name="Form_Responses" id="1">
  <tableColumns count="102">
    <tableColumn name="Column 103" id="1"/>
    <tableColumn name="Carimbo de data/hora" id="2"/>
    <tableColumn name="Nome" id="3"/>
    <tableColumn name="Email " id="4"/>
    <tableColumn name="Telefone" id="5"/>
    <tableColumn name="Usuário do Instagram" id="6"/>
    <tableColumn name="Nome do cão" id="7"/>
    <tableColumn name="Raça" id="8"/>
    <tableColumn name="Idade" id="9"/>
    <tableColumn name="Castrado?" id="10"/>
    <tableColumn name="Qual o seu maior problema com seu cão hoje?" id="11"/>
    <tableColumn name="Gosta de farejar o chão ou cheirar coisas?" id="12"/>
    <tableColumn name="Persegue gatos, pássaros etc.?" id="13"/>
    <tableColumn name="Persegue bicicletas, motos ou skates?" id="14"/>
    <tableColumn name="Cava com frequência?" id="15"/>
    <tableColumn name="Procura seguir odores?" id="16"/>
    <tableColumn name="Já matou e comeu algum animal?" id="17"/>
    <tableColumn name="Chacoalha e &quot;mata&quot; brinquedos?" id="18"/>
    <tableColumn name="Come muito rápido?" id="19"/>
    <tableColumn name="Rouba comida ou lixo?" id="20"/>
    <tableColumn name="Se esfrega em fezes ou odores fortes?" id="21"/>
    <tableColumn name="Mordisca calcanhares?" id="22"/>
    <tableColumn name="Encara pessoas ou cães?" id="23"/>
    <tableColumn name="Transpõe obstáculos?" id="24"/>
    <tableColumn name="Se agacha observando pessoas ou cães?" id="25"/>
    <tableColumn name="Movimento de grupos chama atenção?" id="26"/>
    <tableColumn name="Brinca perseguindo cães?" id="27"/>
    <tableColumn name="Fica aflito quando alguém sai?" id="28"/>
    <tableColumn name="Se inquieta com bicicletas ou crianças?" id="29"/>
    <tableColumn name="Adora correr?" id="30"/>
    <tableColumn name="Parece atento aos seus movimentos?" id="31"/>
    <tableColumn name="Já matou algum cão ou aparenta querer matar?" id="32"/>
    <tableColumn name="Já matou e despedaçou algum cão?" id="33"/>
    <tableColumn name="Possui ímpeto de brigar?" id="34"/>
    <tableColumn name="Puxa a guia quando vê outro cão?" id="35"/>
    <tableColumn name="Interage de forma agressiva com outros cães?" id="36"/>
    <tableColumn name="Resiste em largar objetos?" id="37"/>
    <tableColumn name="Chacoalha brinquedos de forma irritada?" id="38"/>
    <tableColumn name="Mastiga objetos com muita força?" id="39"/>
    <tableColumn name="Ataca outros cães sem sinais?" id="40"/>
    <tableColumn name="Perseguiria cães para brigar?" id="41"/>
    <tableColumn name="Late para pessoas no portão?" id="42"/>
    <tableColumn name="Fica nervoso com movimentos externos?" id="43"/>
    <tableColumn name="Vigia portas ou janelas?" id="44"/>
    <tableColumn name="Age de forma agressiva no portão?" id="45"/>
    <tableColumn name="Precisa ser isolado para receber visitas?" id="46"/>
    <tableColumn name="Fica nervoso com convidados?" id="47"/>
    <tableColumn name="Late para convidados andando pela casa?" id="48"/>
    <tableColumn name="Late no carro para pessoas?" id="49"/>
    <tableColumn name="Fica nervoso com campainha?" id="50"/>
    <tableColumn name="Se importa com barulhos externos?" id="51"/>
    <tableColumn name="Gosta de carregar objetos?" id="52"/>
    <tableColumn name="Gosta de brinquedos em movimento?" id="53"/>
    <tableColumn name="Traz brinquedos para brincar?" id="54"/>
    <tableColumn name="Traz brinquedos para jogar?" id="55"/>
    <tableColumn name="Fica muito empolgado para brincar?" id="56"/>
    <tableColumn name="Corre atrás de pessoas por diversão?" id="57"/>
    <tableColumn name="Corre desenfreadamente pela casa?" id="58"/>
    <tableColumn name="Procura brinquedos?" id="59"/>
    <tableColumn name="Convida outros cães para brincar?" id="60"/>
    <tableColumn name="Qualquer objeto vira brinquedo?" id="61"/>
    <tableColumn name="Passa tranquilamente por cães?" id="62"/>
    <tableColumn name="Segue você pela casa?" id="63"/>
    <tableColumn name="Permanece amigável com cães?" id="64"/>
    <tableColumn name="Permanece amigável com pessoas?" id="65"/>
    <tableColumn name="Pede carinho?" id="66"/>
    <tableColumn name="Relaxa ao ser penteado?" id="67"/>
    <tableColumn name="Vem quando chamado?" id="68"/>
    <tableColumn name="Brinca com pessoas desconhecidas?" id="69"/>
    <tableColumn name="Brinca com cães desconhecidos?" id="70"/>
    <tableColumn name="Permite retirar objetos da boca?" id="71"/>
    <tableColumn name="Investe contra portões com cães?" id="72"/>
    <tableColumn name="Quando inseguro, rosna ou morde?" id="73"/>
    <tableColumn name="Fica tenso com pessoas?" id="74"/>
    <tableColumn name="Fica tenso com cães?" id="75"/>
    <tableColumn name="Rosna quando manipulado?" id="76"/>
    <tableColumn name="Rosna ao ser penteado?" id="77"/>
    <tableColumn name="Parece proteger você?" id="78"/>
    <tableColumn name="Rosna para estranhos?" id="79"/>
    <tableColumn name="Briga com cães desconhecidos?" id="80"/>
    <tableColumn name="Faz posse de brinquedos ou comida?" id="81"/>
    <tableColumn name="Tenta se afastar de portões com cães?" id="82"/>
    <tableColumn name="Quando inseguro, foge ou grita?" id="83"/>
    <tableColumn name="Evita cães?" id="84"/>
    <tableColumn name="Evita pessoas?" id="85"/>
    <tableColumn name="Tenta fugir quando manipulado?" id="86"/>
    <tableColumn name="Tenta fugir ao ser penteado?" id="87"/>
    <tableColumn name="Persegue você como se fosse abandoná-lo?" id="88"/>
    <tableColumn name="Tenta fugir de estranhos?" id="89"/>
    <tableColumn name="Evita cães desconhecidos?" id="90"/>
    <tableColumn name="Situações novas o deixam inquieto?" id="91"/>
    <tableColumn name="Diminui o ritmo ao passar por cães?" id="92"/>
    <tableColumn name="Quando inseguro fica imóvel?" id="93"/>
    <tableColumn name="Fica imóvel diante de cães?" id="94"/>
    <tableColumn name="Fica imóvel diante de pessoas?" id="95"/>
    <tableColumn name="Fica imóvel quando manipulado?" id="96"/>
    <tableColumn name="Fica imóvel ao ser penteado?" id="97"/>
    <tableColumn name="Fica travado quando se assusta?" id="98"/>
    <tableColumn name="Se agacha e fica imóvel diante de estranhos?" id="99"/>
    <tableColumn name="Fica tenso diante de cães desconhecidos?" id="100"/>
    <tableColumn name="Fica muito quieto como se estivesse incomodado?" id="101"/>
    <tableColumn name="Porque você acredita que a escola de cães pode te ajudar na educação do seu cão?" id="102"/>
  </tableColumns>
  <tableStyleInfo name="1) Respostas ao formul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1.25"/>
    <col customWidth="1" min="3" max="5" width="18.88"/>
    <col customWidth="1" min="6" max="6" width="21.0"/>
    <col customWidth="1" min="7" max="10" width="18.88"/>
    <col customWidth="1" min="11" max="11" width="37.63"/>
    <col customWidth="1" min="12" max="12" width="35.75"/>
    <col customWidth="1" min="13" max="13" width="27.88"/>
    <col customWidth="1" min="14" max="14" width="33.13"/>
    <col customWidth="1" min="15" max="15" width="21.5"/>
    <col customWidth="1" min="16" max="16" width="22.13"/>
    <col customWidth="1" min="17" max="17" width="29.88"/>
    <col customWidth="1" min="18" max="18" width="28.75"/>
    <col customWidth="1" min="19" max="19" width="20.0"/>
    <col customWidth="1" min="20" max="20" width="21.75"/>
    <col customWidth="1" min="21" max="21" width="33.25"/>
    <col customWidth="1" min="22" max="22" width="22.13"/>
    <col customWidth="1" min="23" max="23" width="23.75"/>
    <col customWidth="1" min="24" max="24" width="21.38"/>
    <col customWidth="1" min="25" max="25" width="35.25"/>
    <col customWidth="1" min="26" max="26" width="33.5"/>
    <col customWidth="1" min="27" max="27" width="24.0"/>
    <col customWidth="1" min="28" max="28" width="27.5"/>
    <col customWidth="1" min="29" max="29" width="33.88"/>
    <col customWidth="1" min="30" max="30" width="18.88"/>
    <col customWidth="1" min="31" max="31" width="32.5"/>
    <col customWidth="1" min="32" max="32" width="37.63"/>
    <col customWidth="1" min="33" max="33" width="31.5"/>
    <col customWidth="1" min="34" max="34" width="23.38"/>
    <col customWidth="1" min="35" max="35" width="29.75"/>
    <col customWidth="1" min="36" max="36" width="37.63"/>
    <col customWidth="1" min="37" max="37" width="24.5"/>
    <col customWidth="1" min="38" max="38" width="34.88"/>
    <col customWidth="1" min="39" max="39" width="30.13"/>
    <col customWidth="1" min="40" max="40" width="27.5"/>
    <col customWidth="1" min="41" max="41" width="26.38"/>
    <col customWidth="1" min="42" max="42" width="26.88"/>
    <col customWidth="1" min="43" max="43" width="35.13"/>
    <col customWidth="1" min="44" max="44" width="22.63"/>
    <col customWidth="1" min="45" max="45" width="30.75"/>
    <col customWidth="1" min="46" max="46" width="34.38"/>
    <col customWidth="1" min="47" max="47" width="27.75"/>
    <col customWidth="1" min="48" max="48" width="35.75"/>
    <col customWidth="1" min="49" max="49" width="25.88"/>
    <col customWidth="1" min="50" max="50" width="27.5"/>
    <col customWidth="1" min="51" max="51" width="31.13"/>
    <col customWidth="1" min="52" max="52" width="24.88"/>
    <col customWidth="1" min="53" max="53" width="32.38"/>
    <col customWidth="1" min="54" max="54" width="26.88"/>
    <col customWidth="1" min="55" max="55" width="25.5"/>
    <col customWidth="1" min="56" max="56" width="31.38"/>
    <col customWidth="1" min="57" max="57" width="32.25"/>
    <col customWidth="1" min="58" max="58" width="31.5"/>
    <col customWidth="1" min="59" max="59" width="20.38"/>
    <col customWidth="1" min="60" max="60" width="30.0"/>
    <col customWidth="1" min="61" max="61" width="28.38"/>
    <col customWidth="1" min="62" max="62" width="28.63"/>
    <col customWidth="1" min="63" max="63" width="21.88"/>
    <col customWidth="1" min="64" max="64" width="28.75"/>
    <col customWidth="1" min="65" max="65" width="31.38"/>
    <col customWidth="1" min="66" max="66" width="18.88"/>
    <col customWidth="1" min="67" max="67" width="23.13"/>
    <col customWidth="1" min="68" max="68" width="22.5"/>
    <col customWidth="1" min="69" max="69" width="32.25"/>
    <col customWidth="1" min="70" max="70" width="29.63"/>
    <col customWidth="1" min="71" max="71" width="28.5"/>
    <col customWidth="1" min="72" max="72" width="29.88"/>
    <col customWidth="1" min="73" max="73" width="30.63"/>
    <col customWidth="1" min="74" max="74" width="23.75"/>
    <col customWidth="1" min="75" max="75" width="21.13"/>
    <col customWidth="1" min="76" max="76" width="25.5"/>
    <col customWidth="1" min="77" max="77" width="22.75"/>
    <col customWidth="1" min="78" max="78" width="21.5"/>
    <col customWidth="1" min="79" max="79" width="22.0"/>
    <col customWidth="1" min="80" max="80" width="28.75"/>
    <col customWidth="1" min="81" max="81" width="32.25"/>
    <col customWidth="1" min="82" max="82" width="33.5"/>
    <col customWidth="1" min="83" max="83" width="28.38"/>
    <col customWidth="1" min="84" max="85" width="18.88"/>
    <col customWidth="1" min="86" max="86" width="28.75"/>
    <col customWidth="1" min="87" max="87" width="26.0"/>
    <col customWidth="1" min="88" max="88" width="37.25"/>
    <col customWidth="1" min="89" max="89" width="23.75"/>
    <col customWidth="1" min="90" max="90" width="24.88"/>
    <col customWidth="1" min="91" max="91" width="31.25"/>
    <col customWidth="1" min="92" max="92" width="31.38"/>
    <col customWidth="1" min="93" max="93" width="26.75"/>
    <col customWidth="1" min="94" max="94" width="25.25"/>
    <col customWidth="1" min="95" max="95" width="28.0"/>
    <col customWidth="1" min="96" max="96" width="29.13"/>
    <col customWidth="1" min="97" max="97" width="26.5"/>
    <col customWidth="1" min="98" max="98" width="29.13"/>
    <col customWidth="1" min="99" max="99" width="37.63"/>
    <col customWidth="1" min="100" max="100" width="36.0"/>
    <col customWidth="1" min="101" max="102" width="37.63"/>
    <col customWidth="1" min="103" max="113" width="18.88"/>
  </cols>
  <sheetData>
    <row r="1">
      <c r="A1" s="22">
        <v>1.0</v>
      </c>
      <c r="B1" s="22">
        <v>2.0</v>
      </c>
      <c r="C1" s="22">
        <v>3.0</v>
      </c>
      <c r="D1" s="22">
        <v>4.0</v>
      </c>
      <c r="E1" s="22">
        <v>5.0</v>
      </c>
      <c r="F1" s="22">
        <v>6.0</v>
      </c>
      <c r="G1" s="22">
        <v>7.0</v>
      </c>
      <c r="H1" s="22">
        <v>8.0</v>
      </c>
      <c r="I1" s="22">
        <v>9.0</v>
      </c>
      <c r="J1" s="22">
        <v>10.0</v>
      </c>
      <c r="K1" s="22">
        <v>11.0</v>
      </c>
      <c r="L1" s="22">
        <v>12.0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2">
        <v>20.0</v>
      </c>
      <c r="U1" s="22">
        <v>21.0</v>
      </c>
      <c r="V1" s="22">
        <v>22.0</v>
      </c>
      <c r="W1" s="22">
        <v>23.0</v>
      </c>
      <c r="X1" s="22">
        <v>24.0</v>
      </c>
      <c r="Y1" s="22">
        <v>25.0</v>
      </c>
      <c r="Z1" s="22">
        <v>26.0</v>
      </c>
      <c r="AA1" s="22">
        <v>27.0</v>
      </c>
      <c r="AB1" s="22">
        <v>28.0</v>
      </c>
      <c r="AC1" s="22">
        <v>29.0</v>
      </c>
      <c r="AD1" s="22">
        <v>30.0</v>
      </c>
      <c r="AE1" s="22">
        <v>31.0</v>
      </c>
      <c r="AF1" s="22">
        <v>32.0</v>
      </c>
      <c r="AG1" s="22">
        <v>33.0</v>
      </c>
      <c r="AH1" s="22">
        <v>34.0</v>
      </c>
      <c r="AI1" s="22">
        <v>35.0</v>
      </c>
      <c r="AJ1" s="22">
        <v>36.0</v>
      </c>
      <c r="AK1" s="22">
        <v>37.0</v>
      </c>
      <c r="AL1" s="22">
        <v>38.0</v>
      </c>
      <c r="AM1" s="22">
        <v>39.0</v>
      </c>
      <c r="AN1" s="22">
        <v>40.0</v>
      </c>
      <c r="AO1" s="22">
        <v>41.0</v>
      </c>
      <c r="AP1" s="22">
        <v>42.0</v>
      </c>
      <c r="AQ1" s="22">
        <v>43.0</v>
      </c>
      <c r="AR1" s="22">
        <v>44.0</v>
      </c>
      <c r="AS1" s="22">
        <v>45.0</v>
      </c>
      <c r="AT1" s="22">
        <v>46.0</v>
      </c>
      <c r="AU1" s="22">
        <v>47.0</v>
      </c>
      <c r="AV1" s="22">
        <v>48.0</v>
      </c>
      <c r="AW1" s="22">
        <v>49.0</v>
      </c>
      <c r="AX1" s="22">
        <v>50.0</v>
      </c>
      <c r="AY1" s="22">
        <v>51.0</v>
      </c>
      <c r="AZ1" s="22">
        <v>52.0</v>
      </c>
      <c r="BA1" s="22">
        <v>53.0</v>
      </c>
      <c r="BB1" s="22">
        <v>54.0</v>
      </c>
      <c r="BC1" s="22">
        <v>55.0</v>
      </c>
      <c r="BD1" s="22">
        <v>56.0</v>
      </c>
      <c r="BE1" s="22">
        <v>57.0</v>
      </c>
      <c r="BF1" s="22">
        <v>58.0</v>
      </c>
      <c r="BG1" s="22">
        <v>59.0</v>
      </c>
      <c r="BH1" s="22">
        <v>60.0</v>
      </c>
      <c r="BI1" s="22">
        <v>61.0</v>
      </c>
      <c r="BJ1" s="22">
        <v>62.0</v>
      </c>
      <c r="BK1" s="22">
        <v>63.0</v>
      </c>
      <c r="BL1" s="22">
        <v>64.0</v>
      </c>
      <c r="BM1" s="22">
        <v>65.0</v>
      </c>
      <c r="BN1" s="22">
        <v>66.0</v>
      </c>
      <c r="BO1" s="22">
        <v>67.0</v>
      </c>
      <c r="BP1" s="22">
        <v>68.0</v>
      </c>
      <c r="BQ1" s="22">
        <v>69.0</v>
      </c>
      <c r="BR1" s="22">
        <v>70.0</v>
      </c>
      <c r="BS1" s="22">
        <v>71.0</v>
      </c>
      <c r="BT1" s="22">
        <v>72.0</v>
      </c>
      <c r="BU1" s="22">
        <v>73.0</v>
      </c>
      <c r="BV1" s="22">
        <v>74.0</v>
      </c>
      <c r="BW1" s="22">
        <v>75.0</v>
      </c>
      <c r="BX1" s="22">
        <v>76.0</v>
      </c>
      <c r="BY1" s="22">
        <v>77.0</v>
      </c>
      <c r="BZ1" s="22">
        <v>78.0</v>
      </c>
      <c r="CA1" s="22">
        <v>79.0</v>
      </c>
      <c r="CB1" s="22">
        <v>80.0</v>
      </c>
      <c r="CC1" s="22">
        <v>81.0</v>
      </c>
      <c r="CD1" s="22">
        <v>82.0</v>
      </c>
      <c r="CE1" s="22">
        <v>83.0</v>
      </c>
      <c r="CF1" s="22">
        <v>84.0</v>
      </c>
      <c r="CG1" s="22">
        <v>85.0</v>
      </c>
      <c r="CH1" s="22">
        <v>86.0</v>
      </c>
      <c r="CI1" s="22">
        <v>87.0</v>
      </c>
      <c r="CJ1" s="22">
        <v>88.0</v>
      </c>
      <c r="CK1" s="22">
        <v>89.0</v>
      </c>
      <c r="CL1" s="22">
        <v>90.0</v>
      </c>
      <c r="CM1" s="22">
        <v>91.0</v>
      </c>
      <c r="CN1" s="22">
        <v>92.0</v>
      </c>
      <c r="CO1" s="22">
        <v>93.0</v>
      </c>
      <c r="CP1" s="22">
        <v>94.0</v>
      </c>
      <c r="CQ1" s="22">
        <v>95.0</v>
      </c>
      <c r="CR1" s="22">
        <v>96.0</v>
      </c>
      <c r="CS1" s="22">
        <v>97.0</v>
      </c>
      <c r="CT1" s="22">
        <v>98.0</v>
      </c>
      <c r="CU1" s="22">
        <v>99.0</v>
      </c>
      <c r="CV1" s="22">
        <v>100.0</v>
      </c>
      <c r="CW1" s="22">
        <v>101.0</v>
      </c>
      <c r="CX1" s="22">
        <v>102.0</v>
      </c>
      <c r="CY1" s="22">
        <v>103.0</v>
      </c>
      <c r="CZ1" s="22">
        <v>104.0</v>
      </c>
      <c r="DA1" s="22">
        <v>105.0</v>
      </c>
      <c r="DB1" s="22">
        <v>106.0</v>
      </c>
      <c r="DC1" s="22">
        <v>107.0</v>
      </c>
      <c r="DD1" s="22">
        <v>108.0</v>
      </c>
      <c r="DE1" s="22">
        <v>109.0</v>
      </c>
      <c r="DF1" s="22">
        <v>110.0</v>
      </c>
      <c r="DG1" s="22">
        <v>111.0</v>
      </c>
      <c r="DH1" s="22">
        <v>112.0</v>
      </c>
      <c r="DI1" s="22"/>
    </row>
    <row r="2" ht="22.5" customHeight="1">
      <c r="A2" s="35" t="s">
        <v>8</v>
      </c>
      <c r="B2" s="35" t="s">
        <v>12</v>
      </c>
      <c r="C2" s="35" t="s">
        <v>13</v>
      </c>
      <c r="D2" s="35" t="s">
        <v>14</v>
      </c>
      <c r="E2" s="35" t="s">
        <v>15</v>
      </c>
      <c r="F2" s="35" t="s">
        <v>16</v>
      </c>
      <c r="G2" s="35" t="s">
        <v>4</v>
      </c>
      <c r="H2" s="35" t="s">
        <v>18</v>
      </c>
      <c r="I2" s="35" t="s">
        <v>19</v>
      </c>
      <c r="J2" s="35" t="s">
        <v>20</v>
      </c>
      <c r="K2" s="35" t="s">
        <v>21</v>
      </c>
      <c r="L2" s="40" t="s">
        <v>22</v>
      </c>
      <c r="M2" s="40" t="s">
        <v>24</v>
      </c>
      <c r="N2" s="40" t="s">
        <v>25</v>
      </c>
      <c r="O2" s="40" t="s">
        <v>26</v>
      </c>
      <c r="P2" s="40" t="s">
        <v>28</v>
      </c>
      <c r="Q2" s="40" t="s">
        <v>30</v>
      </c>
      <c r="R2" s="40" t="s">
        <v>31</v>
      </c>
      <c r="S2" s="40" t="s">
        <v>33</v>
      </c>
      <c r="T2" s="40" t="s">
        <v>35</v>
      </c>
      <c r="U2" s="40" t="s">
        <v>36</v>
      </c>
      <c r="V2" s="43" t="s">
        <v>37</v>
      </c>
      <c r="W2" s="43" t="s">
        <v>38</v>
      </c>
      <c r="X2" s="43" t="s">
        <v>39</v>
      </c>
      <c r="Y2" s="43" t="s">
        <v>40</v>
      </c>
      <c r="Z2" s="43" t="s">
        <v>41</v>
      </c>
      <c r="AA2" s="43" t="s">
        <v>42</v>
      </c>
      <c r="AB2" s="43" t="s">
        <v>43</v>
      </c>
      <c r="AC2" s="43" t="s">
        <v>44</v>
      </c>
      <c r="AD2" s="43" t="s">
        <v>45</v>
      </c>
      <c r="AE2" s="43" t="s">
        <v>46</v>
      </c>
      <c r="AF2" s="49" t="s">
        <v>49</v>
      </c>
      <c r="AG2" s="49" t="s">
        <v>57</v>
      </c>
      <c r="AH2" s="49" t="s">
        <v>58</v>
      </c>
      <c r="AI2" s="49" t="s">
        <v>59</v>
      </c>
      <c r="AJ2" s="49" t="s">
        <v>61</v>
      </c>
      <c r="AK2" s="49" t="s">
        <v>63</v>
      </c>
      <c r="AL2" s="49" t="s">
        <v>64</v>
      </c>
      <c r="AM2" s="49" t="s">
        <v>66</v>
      </c>
      <c r="AN2" s="49" t="s">
        <v>69</v>
      </c>
      <c r="AO2" s="49" t="s">
        <v>70</v>
      </c>
      <c r="AP2" s="58" t="s">
        <v>71</v>
      </c>
      <c r="AQ2" s="58" t="s">
        <v>72</v>
      </c>
      <c r="AR2" s="58" t="s">
        <v>73</v>
      </c>
      <c r="AS2" s="58" t="s">
        <v>74</v>
      </c>
      <c r="AT2" s="58" t="s">
        <v>76</v>
      </c>
      <c r="AU2" s="58" t="s">
        <v>77</v>
      </c>
      <c r="AV2" s="58" t="s">
        <v>78</v>
      </c>
      <c r="AW2" s="58" t="s">
        <v>83</v>
      </c>
      <c r="AX2" s="58" t="s">
        <v>85</v>
      </c>
      <c r="AY2" s="58" t="s">
        <v>86</v>
      </c>
      <c r="AZ2" s="64" t="s">
        <v>89</v>
      </c>
      <c r="BA2" s="64" t="s">
        <v>91</v>
      </c>
      <c r="BB2" s="64" t="s">
        <v>92</v>
      </c>
      <c r="BC2" s="64" t="s">
        <v>94</v>
      </c>
      <c r="BD2" s="64" t="s">
        <v>96</v>
      </c>
      <c r="BE2" s="64" t="s">
        <v>99</v>
      </c>
      <c r="BF2" s="64" t="s">
        <v>101</v>
      </c>
      <c r="BG2" s="64" t="s">
        <v>104</v>
      </c>
      <c r="BH2" s="64" t="s">
        <v>106</v>
      </c>
      <c r="BI2" s="64" t="s">
        <v>107</v>
      </c>
      <c r="BJ2" s="73" t="s">
        <v>111</v>
      </c>
      <c r="BK2" s="73" t="s">
        <v>115</v>
      </c>
      <c r="BL2" s="73" t="s">
        <v>118</v>
      </c>
      <c r="BM2" s="73" t="s">
        <v>119</v>
      </c>
      <c r="BN2" s="73" t="s">
        <v>121</v>
      </c>
      <c r="BO2" s="73" t="s">
        <v>122</v>
      </c>
      <c r="BP2" s="73" t="s">
        <v>123</v>
      </c>
      <c r="BQ2" s="73" t="s">
        <v>124</v>
      </c>
      <c r="BR2" s="73" t="s">
        <v>125</v>
      </c>
      <c r="BS2" s="73" t="s">
        <v>126</v>
      </c>
      <c r="BT2" s="79" t="s">
        <v>128</v>
      </c>
      <c r="BU2" s="79" t="s">
        <v>129</v>
      </c>
      <c r="BV2" s="79" t="s">
        <v>131</v>
      </c>
      <c r="BW2" s="79" t="s">
        <v>133</v>
      </c>
      <c r="BX2" s="79" t="s">
        <v>136</v>
      </c>
      <c r="BY2" s="79" t="s">
        <v>138</v>
      </c>
      <c r="BZ2" s="79" t="s">
        <v>139</v>
      </c>
      <c r="CA2" s="79" t="s">
        <v>141</v>
      </c>
      <c r="CB2" s="79" t="s">
        <v>142</v>
      </c>
      <c r="CC2" s="79" t="s">
        <v>144</v>
      </c>
      <c r="CD2" s="82" t="s">
        <v>145</v>
      </c>
      <c r="CE2" s="82" t="s">
        <v>146</v>
      </c>
      <c r="CF2" s="82" t="s">
        <v>147</v>
      </c>
      <c r="CG2" s="82" t="s">
        <v>148</v>
      </c>
      <c r="CH2" s="82" t="s">
        <v>150</v>
      </c>
      <c r="CI2" s="82" t="s">
        <v>152</v>
      </c>
      <c r="CJ2" s="82" t="s">
        <v>153</v>
      </c>
      <c r="CK2" s="82" t="s">
        <v>154</v>
      </c>
      <c r="CL2" s="82" t="s">
        <v>156</v>
      </c>
      <c r="CM2" s="82" t="s">
        <v>158</v>
      </c>
      <c r="CN2" s="84" t="s">
        <v>159</v>
      </c>
      <c r="CO2" s="84" t="s">
        <v>161</v>
      </c>
      <c r="CP2" s="84" t="s">
        <v>162</v>
      </c>
      <c r="CQ2" s="84" t="s">
        <v>163</v>
      </c>
      <c r="CR2" s="84" t="s">
        <v>165</v>
      </c>
      <c r="CS2" s="84" t="s">
        <v>166</v>
      </c>
      <c r="CT2" s="84" t="s">
        <v>167</v>
      </c>
      <c r="CU2" s="84" t="s">
        <v>168</v>
      </c>
      <c r="CV2" s="84" t="s">
        <v>169</v>
      </c>
      <c r="CW2" s="84" t="s">
        <v>170</v>
      </c>
      <c r="CX2" s="35" t="s">
        <v>171</v>
      </c>
      <c r="CY2" s="87"/>
      <c r="CZ2" s="88" t="s">
        <v>173</v>
      </c>
      <c r="DA2" s="91" t="s">
        <v>174</v>
      </c>
      <c r="DB2" s="93" t="s">
        <v>175</v>
      </c>
      <c r="DC2" s="94" t="s">
        <v>177</v>
      </c>
      <c r="DD2" s="95" t="s">
        <v>178</v>
      </c>
      <c r="DE2" s="96" t="s">
        <v>181</v>
      </c>
      <c r="DF2" s="97" t="s">
        <v>183</v>
      </c>
      <c r="DG2" s="99" t="s">
        <v>185</v>
      </c>
      <c r="DH2" s="100" t="s">
        <v>186</v>
      </c>
      <c r="DI2" s="87"/>
    </row>
    <row r="3" ht="22.5" customHeight="1">
      <c r="A3" s="104" t="str">
        <f t="shared" ref="A3:A16" si="1">C3&amp;"|"&amp;G3</f>
        <v>Tata Pereira|Eva</v>
      </c>
      <c r="B3" s="105">
        <v>46225.50022469908</v>
      </c>
      <c r="C3" s="106" t="s">
        <v>65</v>
      </c>
      <c r="D3" s="106" t="s">
        <v>190</v>
      </c>
      <c r="E3" s="106">
        <v>2.1995454595E10</v>
      </c>
      <c r="F3" s="106" t="s">
        <v>192</v>
      </c>
      <c r="G3" s="106" t="s">
        <v>68</v>
      </c>
      <c r="H3" s="106" t="s">
        <v>195</v>
      </c>
      <c r="I3" s="106" t="s">
        <v>196</v>
      </c>
      <c r="J3" s="106" t="s">
        <v>198</v>
      </c>
      <c r="K3" s="106" t="s">
        <v>200</v>
      </c>
      <c r="L3" s="106">
        <v>5.0</v>
      </c>
      <c r="M3" s="106">
        <v>6.0</v>
      </c>
      <c r="N3" s="106">
        <v>0.0</v>
      </c>
      <c r="O3" s="106">
        <v>4.0</v>
      </c>
      <c r="P3" s="106">
        <v>5.0</v>
      </c>
      <c r="Q3" s="106" t="s">
        <v>202</v>
      </c>
      <c r="R3" s="106">
        <v>10.0</v>
      </c>
      <c r="S3" s="106">
        <v>3.0</v>
      </c>
      <c r="T3" s="106">
        <v>0.0</v>
      </c>
      <c r="U3" s="106">
        <v>0.0</v>
      </c>
      <c r="V3" s="106">
        <v>5.0</v>
      </c>
      <c r="W3" s="106">
        <v>0.0</v>
      </c>
      <c r="X3" s="106">
        <v>8.0</v>
      </c>
      <c r="Y3" s="106">
        <v>0.0</v>
      </c>
      <c r="Z3" s="106">
        <v>5.0</v>
      </c>
      <c r="AA3" s="106">
        <v>6.0</v>
      </c>
      <c r="AB3" s="106">
        <v>0.0</v>
      </c>
      <c r="AC3" s="106">
        <v>0.0</v>
      </c>
      <c r="AD3" s="106">
        <v>10.0</v>
      </c>
      <c r="AE3" s="106">
        <v>7.0</v>
      </c>
      <c r="AF3" s="106" t="s">
        <v>202</v>
      </c>
      <c r="AG3" s="106" t="s">
        <v>202</v>
      </c>
      <c r="AH3" s="106">
        <v>0.0</v>
      </c>
      <c r="AI3" s="106">
        <v>0.0</v>
      </c>
      <c r="AJ3" s="106">
        <v>0.0</v>
      </c>
      <c r="AK3" s="106">
        <v>3.0</v>
      </c>
      <c r="AL3" s="106">
        <v>5.0</v>
      </c>
      <c r="AM3" s="106">
        <v>3.0</v>
      </c>
      <c r="AN3" s="106" t="s">
        <v>202</v>
      </c>
      <c r="AO3" s="106">
        <v>0.0</v>
      </c>
      <c r="AP3" s="106">
        <v>10.0</v>
      </c>
      <c r="AQ3" s="106">
        <v>3.0</v>
      </c>
      <c r="AR3" s="106">
        <v>0.0</v>
      </c>
      <c r="AS3" s="106">
        <v>0.0</v>
      </c>
      <c r="AT3" s="106">
        <v>0.0</v>
      </c>
      <c r="AU3" s="106">
        <v>3.0</v>
      </c>
      <c r="AV3" s="106">
        <v>3.0</v>
      </c>
      <c r="AW3" s="106">
        <v>0.0</v>
      </c>
      <c r="AX3" s="106">
        <v>3.0</v>
      </c>
      <c r="AY3" s="106">
        <v>3.0</v>
      </c>
      <c r="AZ3" s="106">
        <v>5.0</v>
      </c>
      <c r="BA3" s="106">
        <v>10.0</v>
      </c>
      <c r="BB3" s="106">
        <v>7.0</v>
      </c>
      <c r="BC3" s="106">
        <v>7.0</v>
      </c>
      <c r="BD3" s="106">
        <v>10.0</v>
      </c>
      <c r="BE3" s="106">
        <v>7.0</v>
      </c>
      <c r="BF3" s="106">
        <v>7.0</v>
      </c>
      <c r="BG3" s="106">
        <v>7.0</v>
      </c>
      <c r="BH3" s="106">
        <v>7.0</v>
      </c>
      <c r="BI3" s="106">
        <v>3.0</v>
      </c>
      <c r="BJ3" s="106">
        <v>10.0</v>
      </c>
      <c r="BK3" s="106">
        <v>5.0</v>
      </c>
      <c r="BL3" s="106">
        <v>10.0</v>
      </c>
      <c r="BM3" s="106">
        <v>5.0</v>
      </c>
      <c r="BN3" s="106">
        <v>10.0</v>
      </c>
      <c r="BO3" s="106">
        <v>8.0</v>
      </c>
      <c r="BP3" s="106">
        <v>10.0</v>
      </c>
      <c r="BQ3" s="106">
        <v>0.0</v>
      </c>
      <c r="BR3" s="106">
        <v>7.0</v>
      </c>
      <c r="BS3" s="106">
        <v>10.0</v>
      </c>
      <c r="BT3" s="106">
        <v>0.0</v>
      </c>
      <c r="BU3" s="106">
        <v>7.0</v>
      </c>
      <c r="BV3" s="106">
        <v>8.0</v>
      </c>
      <c r="BW3" s="106">
        <v>3.0</v>
      </c>
      <c r="BX3" s="106">
        <v>0.0</v>
      </c>
      <c r="BY3" s="106">
        <v>0.0</v>
      </c>
      <c r="BZ3" s="106">
        <v>0.0</v>
      </c>
      <c r="CA3" s="106">
        <v>0.0</v>
      </c>
      <c r="CB3" s="106">
        <v>0.0</v>
      </c>
      <c r="CC3" s="106">
        <v>3.0</v>
      </c>
      <c r="CD3" s="106">
        <v>8.0</v>
      </c>
      <c r="CE3" s="106">
        <v>8.0</v>
      </c>
      <c r="CF3" s="106">
        <v>3.0</v>
      </c>
      <c r="CG3" s="106">
        <v>8.0</v>
      </c>
      <c r="CH3" s="106">
        <v>7.0</v>
      </c>
      <c r="CI3" s="106">
        <v>7.0</v>
      </c>
      <c r="CJ3" s="106">
        <v>0.0</v>
      </c>
      <c r="CK3" s="106">
        <v>10.0</v>
      </c>
      <c r="CL3" s="106">
        <v>3.0</v>
      </c>
      <c r="CM3" s="106">
        <v>0.0</v>
      </c>
      <c r="CN3" s="106">
        <v>5.0</v>
      </c>
      <c r="CO3" s="106">
        <v>9.0</v>
      </c>
      <c r="CP3" s="106">
        <v>0.0</v>
      </c>
      <c r="CQ3" s="106">
        <v>8.0</v>
      </c>
      <c r="CR3" s="106">
        <v>10.0</v>
      </c>
      <c r="CS3" s="106">
        <v>10.0</v>
      </c>
      <c r="CT3" s="106">
        <v>4.0</v>
      </c>
      <c r="CU3" s="106">
        <v>7.0</v>
      </c>
      <c r="CV3" s="106">
        <v>3.0</v>
      </c>
      <c r="CW3" s="106">
        <v>5.0</v>
      </c>
      <c r="CX3" s="106" t="s">
        <v>213</v>
      </c>
      <c r="CY3" s="87"/>
      <c r="CZ3" s="126">
        <f t="shared" ref="CZ3:CZ16" si="2">SUM(L3:U3)+IF(P3="Sim",10,0)</f>
        <v>33</v>
      </c>
      <c r="DA3" s="127">
        <f t="shared" ref="DA3:DA16" si="3">SUM(V3:AE3)</f>
        <v>41</v>
      </c>
      <c r="DB3" s="127">
        <f t="shared" ref="DB3:DB16" si="4">SUM(AF3:AO3)+IF(AF3="Sim",10,0)+IF(AG3="Sim",10,0)+IF(AN3="Sim",10,0)</f>
        <v>11</v>
      </c>
      <c r="DC3" s="127">
        <f t="shared" ref="DC3:DC16" si="5">SUM(AP3:AY3)</f>
        <v>25</v>
      </c>
      <c r="DD3" s="127">
        <f t="shared" ref="DD3:DD16" si="6">SUM(AZ3:BI3)</f>
        <v>70</v>
      </c>
      <c r="DE3" s="127">
        <f t="shared" ref="DE3:DE16" si="7">SUM(BJ3:BS3)</f>
        <v>75</v>
      </c>
      <c r="DF3" s="127">
        <f t="shared" ref="DF3:DF16" si="8">SUM(BT3:CC3)</f>
        <v>21</v>
      </c>
      <c r="DG3" s="127">
        <f t="shared" ref="DG3:DG16" si="9">SUM(CD3:CM3)</f>
        <v>54</v>
      </c>
      <c r="DH3" s="127">
        <f t="shared" ref="DH3:DH16" si="10">SUM(CN3:CW3)</f>
        <v>61</v>
      </c>
      <c r="DI3" s="87"/>
    </row>
    <row r="4" ht="22.5" customHeight="1">
      <c r="A4" s="104" t="str">
        <f t="shared" si="1"/>
        <v>Joaquina|Paçoca</v>
      </c>
      <c r="B4" s="131">
        <v>46225.56778563657</v>
      </c>
      <c r="C4" s="132" t="s">
        <v>108</v>
      </c>
      <c r="D4" s="132" t="s">
        <v>215</v>
      </c>
      <c r="E4" s="132">
        <v>2.1999052454E10</v>
      </c>
      <c r="F4" s="132" t="s">
        <v>216</v>
      </c>
      <c r="G4" s="132" t="s">
        <v>110</v>
      </c>
      <c r="H4" s="132" t="s">
        <v>217</v>
      </c>
      <c r="I4" s="132" t="s">
        <v>218</v>
      </c>
      <c r="J4" s="132" t="s">
        <v>219</v>
      </c>
      <c r="K4" s="132" t="s">
        <v>220</v>
      </c>
      <c r="L4" s="132">
        <v>8.0</v>
      </c>
      <c r="M4" s="132">
        <v>5.0</v>
      </c>
      <c r="N4" s="132">
        <v>9.0</v>
      </c>
      <c r="O4" s="132">
        <v>1.0</v>
      </c>
      <c r="P4" s="132">
        <v>5.0</v>
      </c>
      <c r="Q4" s="132" t="s">
        <v>82</v>
      </c>
      <c r="R4" s="132">
        <v>10.0</v>
      </c>
      <c r="S4" s="132">
        <v>9.0</v>
      </c>
      <c r="T4" s="132">
        <v>1.0</v>
      </c>
      <c r="U4" s="132">
        <v>0.0</v>
      </c>
      <c r="V4" s="132">
        <v>0.0</v>
      </c>
      <c r="W4" s="132">
        <v>7.0</v>
      </c>
      <c r="X4" s="132">
        <v>6.0</v>
      </c>
      <c r="Y4" s="132">
        <v>3.0</v>
      </c>
      <c r="Z4" s="132">
        <v>7.0</v>
      </c>
      <c r="AA4" s="132">
        <v>7.0</v>
      </c>
      <c r="AB4" s="132">
        <v>6.0</v>
      </c>
      <c r="AC4" s="132">
        <v>9.0</v>
      </c>
      <c r="AD4" s="132">
        <v>10.0</v>
      </c>
      <c r="AE4" s="132">
        <v>2.0</v>
      </c>
      <c r="AF4" s="132" t="s">
        <v>202</v>
      </c>
      <c r="AG4" s="132" t="s">
        <v>202</v>
      </c>
      <c r="AH4" s="132">
        <v>9.0</v>
      </c>
      <c r="AI4" s="132">
        <v>10.0</v>
      </c>
      <c r="AJ4" s="132">
        <v>7.0</v>
      </c>
      <c r="AK4" s="132">
        <v>5.0</v>
      </c>
      <c r="AL4" s="132">
        <v>6.0</v>
      </c>
      <c r="AM4" s="132">
        <v>5.0</v>
      </c>
      <c r="AN4" s="132" t="s">
        <v>202</v>
      </c>
      <c r="AO4" s="132">
        <v>5.0</v>
      </c>
      <c r="AP4" s="132">
        <v>10.0</v>
      </c>
      <c r="AQ4" s="132">
        <v>10.0</v>
      </c>
      <c r="AR4" s="132">
        <v>7.0</v>
      </c>
      <c r="AS4" s="132">
        <v>8.0</v>
      </c>
      <c r="AT4" s="132">
        <v>2.0</v>
      </c>
      <c r="AU4" s="132">
        <v>3.0</v>
      </c>
      <c r="AV4" s="132">
        <v>4.0</v>
      </c>
      <c r="AW4" s="132">
        <v>10.0</v>
      </c>
      <c r="AX4" s="132">
        <v>5.0</v>
      </c>
      <c r="AY4" s="132">
        <v>5.0</v>
      </c>
      <c r="AZ4" s="132">
        <v>3.0</v>
      </c>
      <c r="BA4" s="132">
        <v>4.0</v>
      </c>
      <c r="BB4" s="132">
        <v>4.0</v>
      </c>
      <c r="BC4" s="132">
        <v>4.0</v>
      </c>
      <c r="BD4" s="132">
        <v>7.0</v>
      </c>
      <c r="BE4" s="132">
        <v>3.0</v>
      </c>
      <c r="BF4" s="132">
        <v>6.0</v>
      </c>
      <c r="BG4" s="132">
        <v>3.0</v>
      </c>
      <c r="BH4" s="132">
        <v>0.0</v>
      </c>
      <c r="BI4" s="132">
        <v>2.0</v>
      </c>
      <c r="BJ4" s="132">
        <v>5.0</v>
      </c>
      <c r="BK4" s="132">
        <v>10.0</v>
      </c>
      <c r="BL4" s="132">
        <v>1.0</v>
      </c>
      <c r="BM4" s="132">
        <v>4.0</v>
      </c>
      <c r="BN4" s="132">
        <v>0.0</v>
      </c>
      <c r="BO4" s="132">
        <v>5.0</v>
      </c>
      <c r="BP4" s="132">
        <v>9.0</v>
      </c>
      <c r="BQ4" s="132">
        <v>2.0</v>
      </c>
      <c r="BR4" s="132">
        <v>2.0</v>
      </c>
      <c r="BS4" s="132">
        <v>5.0</v>
      </c>
      <c r="BT4" s="132">
        <v>10.0</v>
      </c>
      <c r="BU4" s="132">
        <v>9.0</v>
      </c>
      <c r="BV4" s="132">
        <v>5.0</v>
      </c>
      <c r="BW4" s="132">
        <v>5.0</v>
      </c>
      <c r="BX4" s="132">
        <v>8.0</v>
      </c>
      <c r="BY4" s="132">
        <v>7.0</v>
      </c>
      <c r="BZ4" s="132">
        <v>10.0</v>
      </c>
      <c r="CA4" s="132">
        <v>7.0</v>
      </c>
      <c r="CB4" s="132">
        <v>8.0</v>
      </c>
      <c r="CC4" s="132">
        <v>10.0</v>
      </c>
      <c r="CD4" s="132">
        <v>0.0</v>
      </c>
      <c r="CE4" s="132">
        <v>0.0</v>
      </c>
      <c r="CF4" s="132">
        <v>0.0</v>
      </c>
      <c r="CG4" s="132">
        <v>0.0</v>
      </c>
      <c r="CH4" s="132">
        <v>4.0</v>
      </c>
      <c r="CI4" s="132">
        <v>4.0</v>
      </c>
      <c r="CJ4" s="132">
        <v>0.0</v>
      </c>
      <c r="CK4" s="132">
        <v>0.0</v>
      </c>
      <c r="CL4" s="132">
        <v>0.0</v>
      </c>
      <c r="CM4" s="132">
        <v>3.0</v>
      </c>
      <c r="CN4" s="132">
        <v>1.0</v>
      </c>
      <c r="CO4" s="132">
        <v>2.0</v>
      </c>
      <c r="CP4" s="132">
        <v>0.0</v>
      </c>
      <c r="CQ4" s="132">
        <v>0.0</v>
      </c>
      <c r="CR4" s="132">
        <v>2.0</v>
      </c>
      <c r="CS4" s="132">
        <v>1.0</v>
      </c>
      <c r="CT4" s="132">
        <v>0.0</v>
      </c>
      <c r="CU4" s="132">
        <v>0.0</v>
      </c>
      <c r="CV4" s="132">
        <v>2.0</v>
      </c>
      <c r="CW4" s="132">
        <v>0.0</v>
      </c>
      <c r="CX4" s="132" t="s">
        <v>223</v>
      </c>
      <c r="CY4" s="138"/>
      <c r="CZ4" s="126">
        <f t="shared" si="2"/>
        <v>48</v>
      </c>
      <c r="DA4" s="127">
        <f t="shared" si="3"/>
        <v>57</v>
      </c>
      <c r="DB4" s="127">
        <f t="shared" si="4"/>
        <v>47</v>
      </c>
      <c r="DC4" s="127">
        <f t="shared" si="5"/>
        <v>64</v>
      </c>
      <c r="DD4" s="127">
        <f t="shared" si="6"/>
        <v>36</v>
      </c>
      <c r="DE4" s="127">
        <f t="shared" si="7"/>
        <v>43</v>
      </c>
      <c r="DF4" s="127">
        <f t="shared" si="8"/>
        <v>79</v>
      </c>
      <c r="DG4" s="127">
        <f t="shared" si="9"/>
        <v>11</v>
      </c>
      <c r="DH4" s="127">
        <f t="shared" si="10"/>
        <v>8</v>
      </c>
      <c r="DI4" s="138"/>
    </row>
    <row r="5" ht="22.5" customHeight="1">
      <c r="A5" s="104" t="str">
        <f t="shared" si="1"/>
        <v>Rachel Carla Lucas Linhares|Lili</v>
      </c>
      <c r="B5" s="131">
        <v>46225.56960377315</v>
      </c>
      <c r="C5" s="132" t="s">
        <v>225</v>
      </c>
      <c r="D5" s="132" t="s">
        <v>226</v>
      </c>
      <c r="E5" s="132" t="s">
        <v>227</v>
      </c>
      <c r="F5" s="132" t="s">
        <v>228</v>
      </c>
      <c r="G5" s="132" t="s">
        <v>95</v>
      </c>
      <c r="H5" s="132" t="s">
        <v>229</v>
      </c>
      <c r="I5" s="132" t="s">
        <v>230</v>
      </c>
      <c r="J5" s="132" t="s">
        <v>219</v>
      </c>
      <c r="K5" s="132" t="s">
        <v>231</v>
      </c>
      <c r="L5" s="132">
        <v>5.0</v>
      </c>
      <c r="M5" s="132">
        <v>0.0</v>
      </c>
      <c r="N5" s="132">
        <v>0.0</v>
      </c>
      <c r="O5" s="132">
        <v>0.0</v>
      </c>
      <c r="P5" s="132">
        <v>5.0</v>
      </c>
      <c r="Q5" s="132" t="s">
        <v>202</v>
      </c>
      <c r="R5" s="132">
        <v>6.0</v>
      </c>
      <c r="S5" s="132">
        <v>5.0</v>
      </c>
      <c r="T5" s="132">
        <v>2.0</v>
      </c>
      <c r="U5" s="132">
        <v>0.0</v>
      </c>
      <c r="V5" s="132">
        <v>0.0</v>
      </c>
      <c r="W5" s="132">
        <v>0.0</v>
      </c>
      <c r="X5" s="132">
        <v>7.0</v>
      </c>
      <c r="Y5" s="132">
        <v>0.0</v>
      </c>
      <c r="Z5" s="132">
        <v>6.0</v>
      </c>
      <c r="AA5" s="132">
        <v>6.0</v>
      </c>
      <c r="AB5" s="132">
        <v>0.0</v>
      </c>
      <c r="AC5" s="132">
        <v>0.0</v>
      </c>
      <c r="AD5" s="132">
        <v>7.0</v>
      </c>
      <c r="AE5" s="132">
        <v>8.0</v>
      </c>
      <c r="AF5" s="132" t="s">
        <v>202</v>
      </c>
      <c r="AG5" s="132" t="s">
        <v>202</v>
      </c>
      <c r="AH5" s="132">
        <v>3.0</v>
      </c>
      <c r="AI5" s="132">
        <v>0.0</v>
      </c>
      <c r="AJ5" s="132">
        <v>4.0</v>
      </c>
      <c r="AK5" s="132">
        <v>3.0</v>
      </c>
      <c r="AL5" s="132">
        <v>0.0</v>
      </c>
      <c r="AM5" s="132">
        <v>0.0</v>
      </c>
      <c r="AN5" s="132" t="s">
        <v>202</v>
      </c>
      <c r="AO5" s="132">
        <v>3.0</v>
      </c>
      <c r="AP5" s="132">
        <v>2.0</v>
      </c>
      <c r="AQ5" s="132">
        <v>3.0</v>
      </c>
      <c r="AR5" s="132">
        <v>3.0</v>
      </c>
      <c r="AS5" s="132">
        <v>1.0</v>
      </c>
      <c r="AT5" s="132">
        <v>5.0</v>
      </c>
      <c r="AU5" s="132">
        <v>5.0</v>
      </c>
      <c r="AV5" s="132">
        <v>5.0</v>
      </c>
      <c r="AW5" s="132">
        <v>0.0</v>
      </c>
      <c r="AX5" s="132">
        <v>5.0</v>
      </c>
      <c r="AY5" s="132">
        <v>6.0</v>
      </c>
      <c r="AZ5" s="132">
        <v>0.0</v>
      </c>
      <c r="BA5" s="132">
        <v>6.0</v>
      </c>
      <c r="BB5" s="132">
        <v>2.0</v>
      </c>
      <c r="BC5" s="132">
        <v>4.0</v>
      </c>
      <c r="BD5" s="132">
        <v>5.0</v>
      </c>
      <c r="BE5" s="132">
        <v>4.0</v>
      </c>
      <c r="BF5" s="132">
        <v>4.0</v>
      </c>
      <c r="BG5" s="132">
        <v>4.0</v>
      </c>
      <c r="BH5" s="132">
        <v>2.0</v>
      </c>
      <c r="BI5" s="132">
        <v>0.0</v>
      </c>
      <c r="BJ5" s="132">
        <v>3.0</v>
      </c>
      <c r="BK5" s="132">
        <v>10.0</v>
      </c>
      <c r="BL5" s="132">
        <v>3.0</v>
      </c>
      <c r="BM5" s="132">
        <v>2.0</v>
      </c>
      <c r="BN5" s="132">
        <v>8.0</v>
      </c>
      <c r="BO5" s="132">
        <v>5.0</v>
      </c>
      <c r="BP5" s="132">
        <v>6.0</v>
      </c>
      <c r="BQ5" s="132">
        <v>0.0</v>
      </c>
      <c r="BR5" s="132">
        <v>0.0</v>
      </c>
      <c r="BS5" s="132">
        <v>7.0</v>
      </c>
      <c r="BT5" s="132">
        <v>0.0</v>
      </c>
      <c r="BU5" s="132">
        <v>10.0</v>
      </c>
      <c r="BV5" s="132">
        <v>10.0</v>
      </c>
      <c r="BW5" s="132">
        <v>10.0</v>
      </c>
      <c r="BX5" s="132">
        <v>6.0</v>
      </c>
      <c r="BY5" s="132">
        <v>4.0</v>
      </c>
      <c r="BZ5" s="132">
        <v>10.0</v>
      </c>
      <c r="CA5" s="132">
        <v>7.0</v>
      </c>
      <c r="CB5" s="132">
        <v>7.0</v>
      </c>
      <c r="CC5" s="132">
        <v>7.0</v>
      </c>
      <c r="CD5" s="132">
        <v>8.0</v>
      </c>
      <c r="CE5" s="132">
        <v>5.0</v>
      </c>
      <c r="CF5" s="132">
        <v>10.0</v>
      </c>
      <c r="CG5" s="132">
        <v>10.0</v>
      </c>
      <c r="CH5" s="132">
        <v>5.0</v>
      </c>
      <c r="CI5" s="132">
        <v>5.0</v>
      </c>
      <c r="CJ5" s="132">
        <v>0.0</v>
      </c>
      <c r="CK5" s="132">
        <v>10.0</v>
      </c>
      <c r="CL5" s="132">
        <v>10.0</v>
      </c>
      <c r="CM5" s="132">
        <v>10.0</v>
      </c>
      <c r="CN5" s="132">
        <v>5.0</v>
      </c>
      <c r="CO5" s="132">
        <v>2.0</v>
      </c>
      <c r="CP5" s="132">
        <v>5.0</v>
      </c>
      <c r="CQ5" s="132">
        <v>7.0</v>
      </c>
      <c r="CR5" s="132">
        <v>2.0</v>
      </c>
      <c r="CS5" s="132">
        <v>2.0</v>
      </c>
      <c r="CT5" s="132">
        <v>0.0</v>
      </c>
      <c r="CU5" s="132">
        <v>0.0</v>
      </c>
      <c r="CV5" s="132">
        <v>10.0</v>
      </c>
      <c r="CW5" s="132">
        <v>7.0</v>
      </c>
      <c r="CX5" s="132" t="s">
        <v>234</v>
      </c>
      <c r="CY5" s="138"/>
      <c r="CZ5" s="126">
        <f t="shared" si="2"/>
        <v>23</v>
      </c>
      <c r="DA5" s="127">
        <f t="shared" si="3"/>
        <v>34</v>
      </c>
      <c r="DB5" s="127">
        <f t="shared" si="4"/>
        <v>13</v>
      </c>
      <c r="DC5" s="127">
        <f t="shared" si="5"/>
        <v>35</v>
      </c>
      <c r="DD5" s="127">
        <f t="shared" si="6"/>
        <v>31</v>
      </c>
      <c r="DE5" s="127">
        <f t="shared" si="7"/>
        <v>44</v>
      </c>
      <c r="DF5" s="127">
        <f t="shared" si="8"/>
        <v>71</v>
      </c>
      <c r="DG5" s="127">
        <f t="shared" si="9"/>
        <v>73</v>
      </c>
      <c r="DH5" s="127">
        <f t="shared" si="10"/>
        <v>40</v>
      </c>
      <c r="DI5" s="138"/>
    </row>
    <row r="6" ht="22.5" customHeight="1">
      <c r="A6" s="142" t="str">
        <f t="shared" si="1"/>
        <v>Luiza Faria |Julieta </v>
      </c>
      <c r="B6" s="131">
        <v>46257.42861030092</v>
      </c>
      <c r="C6" s="132" t="s">
        <v>235</v>
      </c>
      <c r="D6" s="132" t="s">
        <v>236</v>
      </c>
      <c r="E6" s="132">
        <v>3.1985894327E10</v>
      </c>
      <c r="F6" s="132" t="s">
        <v>237</v>
      </c>
      <c r="G6" s="132" t="s">
        <v>238</v>
      </c>
      <c r="H6" s="132" t="s">
        <v>239</v>
      </c>
      <c r="I6" s="132" t="s">
        <v>240</v>
      </c>
      <c r="J6" s="132" t="s">
        <v>219</v>
      </c>
      <c r="K6" s="132" t="s">
        <v>241</v>
      </c>
      <c r="L6" s="132">
        <v>10.0</v>
      </c>
      <c r="M6" s="132">
        <v>10.0</v>
      </c>
      <c r="N6" s="132">
        <v>2.0</v>
      </c>
      <c r="O6" s="132">
        <v>5.0</v>
      </c>
      <c r="P6" s="132">
        <v>10.0</v>
      </c>
      <c r="Q6" s="132" t="s">
        <v>202</v>
      </c>
      <c r="R6" s="132">
        <v>10.0</v>
      </c>
      <c r="S6" s="132">
        <v>4.0</v>
      </c>
      <c r="T6" s="132">
        <v>10.0</v>
      </c>
      <c r="U6" s="132">
        <v>0.0</v>
      </c>
      <c r="V6" s="132">
        <v>0.0</v>
      </c>
      <c r="W6" s="132">
        <v>6.0</v>
      </c>
      <c r="X6" s="132">
        <v>10.0</v>
      </c>
      <c r="Y6" s="132">
        <v>10.0</v>
      </c>
      <c r="Z6" s="132">
        <v>10.0</v>
      </c>
      <c r="AA6" s="132">
        <v>8.0</v>
      </c>
      <c r="AB6" s="132">
        <v>5.0</v>
      </c>
      <c r="AC6" s="132">
        <v>5.0</v>
      </c>
      <c r="AD6" s="132">
        <v>10.0</v>
      </c>
      <c r="AE6" s="132">
        <v>10.0</v>
      </c>
      <c r="AF6" s="132" t="s">
        <v>202</v>
      </c>
      <c r="AG6" s="132" t="s">
        <v>202</v>
      </c>
      <c r="AH6" s="132">
        <v>0.0</v>
      </c>
      <c r="AI6" s="132">
        <v>6.0</v>
      </c>
      <c r="AJ6" s="132">
        <v>0.0</v>
      </c>
      <c r="AK6" s="132">
        <v>10.0</v>
      </c>
      <c r="AL6" s="132">
        <v>0.0</v>
      </c>
      <c r="AM6" s="132">
        <v>6.0</v>
      </c>
      <c r="AN6" s="132" t="s">
        <v>202</v>
      </c>
      <c r="AO6" s="132">
        <v>0.0</v>
      </c>
      <c r="AP6" s="132">
        <v>10.0</v>
      </c>
      <c r="AQ6" s="132">
        <v>5.0</v>
      </c>
      <c r="AR6" s="132">
        <v>8.0</v>
      </c>
      <c r="AS6" s="132">
        <v>0.0</v>
      </c>
      <c r="AT6" s="132">
        <v>0.0</v>
      </c>
      <c r="AU6" s="132">
        <v>4.0</v>
      </c>
      <c r="AV6" s="132">
        <v>0.0</v>
      </c>
      <c r="AW6" s="132">
        <v>6.0</v>
      </c>
      <c r="AX6" s="132">
        <v>0.0</v>
      </c>
      <c r="AY6" s="132">
        <v>10.0</v>
      </c>
      <c r="AZ6" s="132">
        <v>10.0</v>
      </c>
      <c r="BA6" s="132">
        <v>10.0</v>
      </c>
      <c r="BB6" s="132">
        <v>10.0</v>
      </c>
      <c r="BC6" s="132">
        <v>10.0</v>
      </c>
      <c r="BD6" s="132">
        <v>10.0</v>
      </c>
      <c r="BE6" s="132">
        <v>10.0</v>
      </c>
      <c r="BF6" s="132">
        <v>10.0</v>
      </c>
      <c r="BG6" s="132">
        <v>10.0</v>
      </c>
      <c r="BH6" s="132">
        <v>6.0</v>
      </c>
      <c r="BI6" s="132">
        <v>10.0</v>
      </c>
      <c r="BJ6" s="132">
        <v>4.0</v>
      </c>
      <c r="BK6" s="132">
        <v>10.0</v>
      </c>
      <c r="BL6" s="132">
        <v>5.0</v>
      </c>
      <c r="BM6" s="132">
        <v>10.0</v>
      </c>
      <c r="BN6" s="132">
        <v>10.0</v>
      </c>
      <c r="BO6" s="132">
        <v>10.0</v>
      </c>
      <c r="BP6" s="132">
        <v>10.0</v>
      </c>
      <c r="BQ6" s="132">
        <v>0.0</v>
      </c>
      <c r="BR6" s="132">
        <v>0.0</v>
      </c>
      <c r="BS6" s="132">
        <v>5.0</v>
      </c>
      <c r="BT6" s="132">
        <v>0.0</v>
      </c>
      <c r="BU6" s="132">
        <v>6.0</v>
      </c>
      <c r="BV6" s="132">
        <v>3.0</v>
      </c>
      <c r="BW6" s="132">
        <v>8.0</v>
      </c>
      <c r="BX6" s="132">
        <v>6.0</v>
      </c>
      <c r="BY6" s="132">
        <v>0.0</v>
      </c>
      <c r="BZ6" s="132">
        <v>10.0</v>
      </c>
      <c r="CA6" s="132">
        <v>3.0</v>
      </c>
      <c r="CB6" s="132">
        <v>0.0</v>
      </c>
      <c r="CC6" s="132">
        <v>10.0</v>
      </c>
      <c r="CD6" s="132">
        <v>10.0</v>
      </c>
      <c r="CE6" s="132">
        <v>10.0</v>
      </c>
      <c r="CF6" s="132">
        <v>10.0</v>
      </c>
      <c r="CG6" s="132">
        <v>10.0</v>
      </c>
      <c r="CH6" s="132">
        <v>10.0</v>
      </c>
      <c r="CI6" s="132">
        <v>0.0</v>
      </c>
      <c r="CJ6" s="132">
        <v>10.0</v>
      </c>
      <c r="CK6" s="132">
        <v>10.0</v>
      </c>
      <c r="CL6" s="132">
        <v>10.0</v>
      </c>
      <c r="CM6" s="132">
        <v>4.0</v>
      </c>
      <c r="CN6" s="132">
        <v>6.0</v>
      </c>
      <c r="CO6" s="132">
        <v>5.0</v>
      </c>
      <c r="CP6" s="132">
        <v>8.0</v>
      </c>
      <c r="CQ6" s="132">
        <v>8.0</v>
      </c>
      <c r="CR6" s="132">
        <v>8.0</v>
      </c>
      <c r="CS6" s="132">
        <v>0.0</v>
      </c>
      <c r="CT6" s="132">
        <v>0.0</v>
      </c>
      <c r="CU6" s="132">
        <v>6.0</v>
      </c>
      <c r="CV6" s="132">
        <v>10.0</v>
      </c>
      <c r="CW6" s="132">
        <v>0.0</v>
      </c>
      <c r="CX6" s="132" t="s">
        <v>242</v>
      </c>
      <c r="CY6" s="138"/>
      <c r="CZ6" s="126">
        <f t="shared" si="2"/>
        <v>61</v>
      </c>
      <c r="DA6" s="127">
        <f t="shared" si="3"/>
        <v>74</v>
      </c>
      <c r="DB6" s="127">
        <f t="shared" si="4"/>
        <v>22</v>
      </c>
      <c r="DC6" s="127">
        <f t="shared" si="5"/>
        <v>43</v>
      </c>
      <c r="DD6" s="127">
        <f t="shared" si="6"/>
        <v>96</v>
      </c>
      <c r="DE6" s="127">
        <f t="shared" si="7"/>
        <v>64</v>
      </c>
      <c r="DF6" s="127">
        <f t="shared" si="8"/>
        <v>46</v>
      </c>
      <c r="DG6" s="127">
        <f t="shared" si="9"/>
        <v>84</v>
      </c>
      <c r="DH6" s="127">
        <f t="shared" si="10"/>
        <v>51</v>
      </c>
      <c r="DI6" s="138"/>
    </row>
    <row r="7" ht="22.5" customHeight="1">
      <c r="A7" s="142" t="str">
        <f t="shared" si="1"/>
        <v>Joyce Silva de Oliveira |Zé Pequeno</v>
      </c>
      <c r="B7" s="131">
        <v>46257.430985011575</v>
      </c>
      <c r="C7" s="132" t="s">
        <v>243</v>
      </c>
      <c r="D7" s="132" t="s">
        <v>244</v>
      </c>
      <c r="E7" s="132" t="s">
        <v>245</v>
      </c>
      <c r="F7" s="132" t="s">
        <v>246</v>
      </c>
      <c r="G7" s="132" t="s">
        <v>247</v>
      </c>
      <c r="H7" s="132" t="s">
        <v>248</v>
      </c>
      <c r="I7" s="132" t="s">
        <v>249</v>
      </c>
      <c r="J7" s="132" t="s">
        <v>219</v>
      </c>
      <c r="K7" s="132" t="s">
        <v>250</v>
      </c>
      <c r="L7" s="132">
        <v>10.0</v>
      </c>
      <c r="M7" s="132">
        <v>10.0</v>
      </c>
      <c r="N7" s="132">
        <v>10.0</v>
      </c>
      <c r="O7" s="132">
        <v>7.0</v>
      </c>
      <c r="P7" s="132">
        <v>7.0</v>
      </c>
      <c r="Q7" s="132" t="s">
        <v>202</v>
      </c>
      <c r="R7" s="132">
        <v>7.0</v>
      </c>
      <c r="S7" s="132">
        <v>0.0</v>
      </c>
      <c r="T7" s="132">
        <v>4.0</v>
      </c>
      <c r="U7" s="132">
        <v>0.0</v>
      </c>
      <c r="V7" s="132">
        <v>0.0</v>
      </c>
      <c r="W7" s="132">
        <v>10.0</v>
      </c>
      <c r="X7" s="132">
        <v>4.0</v>
      </c>
      <c r="Y7" s="132">
        <v>2.0</v>
      </c>
      <c r="Z7" s="132">
        <v>6.0</v>
      </c>
      <c r="AA7" s="132">
        <v>4.0</v>
      </c>
      <c r="AB7" s="132">
        <v>0.0</v>
      </c>
      <c r="AC7" s="132">
        <v>10.0</v>
      </c>
      <c r="AD7" s="132">
        <v>10.0</v>
      </c>
      <c r="AE7" s="132">
        <v>10.0</v>
      </c>
      <c r="AF7" s="132" t="s">
        <v>202</v>
      </c>
      <c r="AG7" s="132" t="s">
        <v>202</v>
      </c>
      <c r="AH7" s="132">
        <v>9.0</v>
      </c>
      <c r="AI7" s="132">
        <v>10.0</v>
      </c>
      <c r="AJ7" s="132">
        <v>10.0</v>
      </c>
      <c r="AK7" s="132">
        <v>8.0</v>
      </c>
      <c r="AL7" s="132">
        <v>9.0</v>
      </c>
      <c r="AM7" s="132">
        <v>7.0</v>
      </c>
      <c r="AN7" s="132" t="s">
        <v>202</v>
      </c>
      <c r="AO7" s="132">
        <v>9.0</v>
      </c>
      <c r="AP7" s="132">
        <v>10.0</v>
      </c>
      <c r="AQ7" s="132">
        <v>5.0</v>
      </c>
      <c r="AR7" s="132">
        <v>10.0</v>
      </c>
      <c r="AS7" s="132">
        <v>6.0</v>
      </c>
      <c r="AT7" s="132">
        <v>2.0</v>
      </c>
      <c r="AU7" s="132">
        <v>5.0</v>
      </c>
      <c r="AV7" s="132">
        <v>2.0</v>
      </c>
      <c r="AW7" s="132">
        <v>2.0</v>
      </c>
      <c r="AX7" s="132">
        <v>2.0</v>
      </c>
      <c r="AY7" s="132">
        <v>5.0</v>
      </c>
      <c r="AZ7" s="132">
        <v>3.0</v>
      </c>
      <c r="BA7" s="132">
        <v>8.0</v>
      </c>
      <c r="BB7" s="132">
        <v>9.0</v>
      </c>
      <c r="BC7" s="132">
        <v>10.0</v>
      </c>
      <c r="BD7" s="132">
        <v>10.0</v>
      </c>
      <c r="BE7" s="132">
        <v>3.0</v>
      </c>
      <c r="BF7" s="132">
        <v>7.0</v>
      </c>
      <c r="BG7" s="132">
        <v>8.0</v>
      </c>
      <c r="BH7" s="132">
        <v>2.0</v>
      </c>
      <c r="BI7" s="132">
        <v>8.0</v>
      </c>
      <c r="BJ7" s="132">
        <v>0.0</v>
      </c>
      <c r="BK7" s="132">
        <v>7.0</v>
      </c>
      <c r="BL7" s="132">
        <v>5.0</v>
      </c>
      <c r="BM7" s="132">
        <v>7.0</v>
      </c>
      <c r="BN7" s="132">
        <v>10.0</v>
      </c>
      <c r="BO7" s="132">
        <v>8.0</v>
      </c>
      <c r="BP7" s="132">
        <v>9.0</v>
      </c>
      <c r="BQ7" s="132">
        <v>7.0</v>
      </c>
      <c r="BR7" s="132">
        <v>0.0</v>
      </c>
      <c r="BS7" s="132">
        <v>5.0</v>
      </c>
      <c r="BT7" s="132">
        <v>8.0</v>
      </c>
      <c r="BU7" s="132">
        <v>8.0</v>
      </c>
      <c r="BV7" s="132">
        <v>7.0</v>
      </c>
      <c r="BW7" s="132">
        <v>10.0</v>
      </c>
      <c r="BX7" s="132">
        <v>7.0</v>
      </c>
      <c r="BY7" s="132">
        <v>0.0</v>
      </c>
      <c r="BZ7" s="132">
        <v>0.0</v>
      </c>
      <c r="CA7" s="132">
        <v>5.0</v>
      </c>
      <c r="CB7" s="132">
        <v>10.0</v>
      </c>
      <c r="CC7" s="132">
        <v>7.0</v>
      </c>
      <c r="CD7" s="132">
        <v>0.0</v>
      </c>
      <c r="CE7" s="132">
        <v>0.0</v>
      </c>
      <c r="CF7" s="132">
        <v>0.0</v>
      </c>
      <c r="CG7" s="132">
        <v>0.0</v>
      </c>
      <c r="CH7" s="132">
        <v>1.0</v>
      </c>
      <c r="CI7" s="132">
        <v>0.0</v>
      </c>
      <c r="CJ7" s="132">
        <v>0.0</v>
      </c>
      <c r="CK7" s="132">
        <v>0.0</v>
      </c>
      <c r="CL7" s="132">
        <v>0.0</v>
      </c>
      <c r="CM7" s="132">
        <v>0.0</v>
      </c>
      <c r="CN7" s="132">
        <v>0.0</v>
      </c>
      <c r="CO7" s="132">
        <v>0.0</v>
      </c>
      <c r="CP7" s="132">
        <v>0.0</v>
      </c>
      <c r="CQ7" s="132">
        <v>0.0</v>
      </c>
      <c r="CR7" s="132">
        <v>2.0</v>
      </c>
      <c r="CS7" s="132">
        <v>3.0</v>
      </c>
      <c r="CT7" s="132">
        <v>0.0</v>
      </c>
      <c r="CU7" s="132">
        <v>0.0</v>
      </c>
      <c r="CV7" s="132">
        <v>10.0</v>
      </c>
      <c r="CW7" s="132">
        <v>0.0</v>
      </c>
      <c r="CX7" s="132" t="s">
        <v>251</v>
      </c>
      <c r="CY7" s="138"/>
      <c r="CZ7" s="126">
        <f t="shared" si="2"/>
        <v>55</v>
      </c>
      <c r="DA7" s="127">
        <f t="shared" si="3"/>
        <v>56</v>
      </c>
      <c r="DB7" s="127">
        <f t="shared" si="4"/>
        <v>62</v>
      </c>
      <c r="DC7" s="127">
        <f t="shared" si="5"/>
        <v>49</v>
      </c>
      <c r="DD7" s="127">
        <f t="shared" si="6"/>
        <v>68</v>
      </c>
      <c r="DE7" s="127">
        <f t="shared" si="7"/>
        <v>58</v>
      </c>
      <c r="DF7" s="127">
        <f t="shared" si="8"/>
        <v>62</v>
      </c>
      <c r="DG7" s="127">
        <f t="shared" si="9"/>
        <v>1</v>
      </c>
      <c r="DH7" s="127">
        <f t="shared" si="10"/>
        <v>15</v>
      </c>
      <c r="DI7" s="138"/>
    </row>
    <row r="8" ht="22.5" customHeight="1">
      <c r="A8" s="142" t="str">
        <f t="shared" si="1"/>
        <v>Joyce Silva de Oliveira |Bené </v>
      </c>
      <c r="B8" s="131">
        <v>46257.44067188658</v>
      </c>
      <c r="C8" s="132" t="s">
        <v>243</v>
      </c>
      <c r="D8" s="132" t="s">
        <v>244</v>
      </c>
      <c r="E8" s="132" t="s">
        <v>252</v>
      </c>
      <c r="F8" s="132" t="s">
        <v>246</v>
      </c>
      <c r="G8" s="132" t="s">
        <v>253</v>
      </c>
      <c r="H8" s="132" t="s">
        <v>248</v>
      </c>
      <c r="I8" s="132" t="s">
        <v>254</v>
      </c>
      <c r="J8" s="132" t="s">
        <v>219</v>
      </c>
      <c r="K8" s="132" t="s">
        <v>255</v>
      </c>
      <c r="L8" s="132">
        <v>10.0</v>
      </c>
      <c r="M8" s="132">
        <v>8.0</v>
      </c>
      <c r="N8" s="132">
        <v>3.0</v>
      </c>
      <c r="O8" s="132">
        <v>2.0</v>
      </c>
      <c r="P8" s="132">
        <v>2.0</v>
      </c>
      <c r="Q8" s="132" t="s">
        <v>202</v>
      </c>
      <c r="R8" s="132">
        <v>8.0</v>
      </c>
      <c r="S8" s="132">
        <v>9.0</v>
      </c>
      <c r="T8" s="132">
        <v>10.0</v>
      </c>
      <c r="U8" s="132">
        <v>0.0</v>
      </c>
      <c r="V8" s="132">
        <v>8.0</v>
      </c>
      <c r="W8" s="132">
        <v>7.0</v>
      </c>
      <c r="X8" s="132">
        <v>10.0</v>
      </c>
      <c r="Y8" s="132">
        <v>10.0</v>
      </c>
      <c r="Z8" s="132">
        <v>7.0</v>
      </c>
      <c r="AA8" s="132">
        <v>9.0</v>
      </c>
      <c r="AB8" s="132">
        <v>0.0</v>
      </c>
      <c r="AC8" s="132">
        <v>4.0</v>
      </c>
      <c r="AD8" s="132">
        <v>7.0</v>
      </c>
      <c r="AE8" s="132">
        <v>8.0</v>
      </c>
      <c r="AF8" s="132" t="s">
        <v>202</v>
      </c>
      <c r="AG8" s="132" t="s">
        <v>202</v>
      </c>
      <c r="AH8" s="132">
        <v>6.0</v>
      </c>
      <c r="AI8" s="132">
        <v>5.0</v>
      </c>
      <c r="AJ8" s="132">
        <v>5.0</v>
      </c>
      <c r="AK8" s="132">
        <v>0.0</v>
      </c>
      <c r="AL8" s="132">
        <v>0.0</v>
      </c>
      <c r="AM8" s="132">
        <v>6.0</v>
      </c>
      <c r="AN8" s="132" t="s">
        <v>202</v>
      </c>
      <c r="AO8" s="132">
        <v>0.0</v>
      </c>
      <c r="AP8" s="132">
        <v>8.0</v>
      </c>
      <c r="AQ8" s="132">
        <v>7.0</v>
      </c>
      <c r="AR8" s="132">
        <v>8.0</v>
      </c>
      <c r="AS8" s="132">
        <v>0.0</v>
      </c>
      <c r="AT8" s="132">
        <v>2.0</v>
      </c>
      <c r="AU8" s="132">
        <v>6.0</v>
      </c>
      <c r="AV8" s="132">
        <v>5.0</v>
      </c>
      <c r="AW8" s="132">
        <v>0.0</v>
      </c>
      <c r="AX8" s="132">
        <v>5.0</v>
      </c>
      <c r="AY8" s="132">
        <v>6.0</v>
      </c>
      <c r="AZ8" s="132">
        <v>10.0</v>
      </c>
      <c r="BA8" s="132">
        <v>9.0</v>
      </c>
      <c r="BB8" s="132">
        <v>2.0</v>
      </c>
      <c r="BC8" s="132">
        <v>0.0</v>
      </c>
      <c r="BD8" s="132">
        <v>10.0</v>
      </c>
      <c r="BE8" s="132">
        <v>4.0</v>
      </c>
      <c r="BF8" s="132">
        <v>7.0</v>
      </c>
      <c r="BG8" s="132">
        <v>8.0</v>
      </c>
      <c r="BH8" s="132">
        <v>8.0</v>
      </c>
      <c r="BI8" s="132">
        <v>10.0</v>
      </c>
      <c r="BJ8" s="132">
        <v>7.0</v>
      </c>
      <c r="BK8" s="132">
        <v>8.0</v>
      </c>
      <c r="BL8" s="132">
        <v>8.0</v>
      </c>
      <c r="BM8" s="132">
        <v>8.0</v>
      </c>
      <c r="BN8" s="132">
        <v>7.0</v>
      </c>
      <c r="BO8" s="132">
        <v>10.0</v>
      </c>
      <c r="BP8" s="132">
        <v>8.0</v>
      </c>
      <c r="BQ8" s="132">
        <v>8.0</v>
      </c>
      <c r="BR8" s="132">
        <v>6.0</v>
      </c>
      <c r="BS8" s="132">
        <v>10.0</v>
      </c>
      <c r="BT8" s="132">
        <v>5.0</v>
      </c>
      <c r="BU8" s="132">
        <v>0.0</v>
      </c>
      <c r="BV8" s="132">
        <v>7.0</v>
      </c>
      <c r="BW8" s="132">
        <v>6.0</v>
      </c>
      <c r="BX8" s="132">
        <v>0.0</v>
      </c>
      <c r="BY8" s="132">
        <v>0.0</v>
      </c>
      <c r="BZ8" s="132">
        <v>8.0</v>
      </c>
      <c r="CA8" s="132">
        <v>0.0</v>
      </c>
      <c r="CB8" s="132">
        <v>5.0</v>
      </c>
      <c r="CC8" s="132">
        <v>10.0</v>
      </c>
      <c r="CD8" s="132">
        <v>6.0</v>
      </c>
      <c r="CE8" s="132">
        <v>7.0</v>
      </c>
      <c r="CF8" s="132">
        <v>5.0</v>
      </c>
      <c r="CG8" s="132">
        <v>4.0</v>
      </c>
      <c r="CH8" s="132">
        <v>2.0</v>
      </c>
      <c r="CI8" s="132">
        <v>0.0</v>
      </c>
      <c r="CJ8" s="132">
        <v>0.0</v>
      </c>
      <c r="CK8" s="132">
        <v>2.0</v>
      </c>
      <c r="CL8" s="132">
        <v>6.0</v>
      </c>
      <c r="CM8" s="132">
        <v>8.0</v>
      </c>
      <c r="CN8" s="132">
        <v>6.0</v>
      </c>
      <c r="CO8" s="132">
        <v>7.0</v>
      </c>
      <c r="CP8" s="132">
        <v>3.0</v>
      </c>
      <c r="CQ8" s="132">
        <v>2.0</v>
      </c>
      <c r="CR8" s="132">
        <v>8.0</v>
      </c>
      <c r="CS8" s="132">
        <v>10.0</v>
      </c>
      <c r="CT8" s="132">
        <v>5.0</v>
      </c>
      <c r="CU8" s="132">
        <v>2.0</v>
      </c>
      <c r="CV8" s="132">
        <v>7.0</v>
      </c>
      <c r="CW8" s="132">
        <v>0.0</v>
      </c>
      <c r="CX8" s="132" t="s">
        <v>256</v>
      </c>
      <c r="CY8" s="138"/>
      <c r="CZ8" s="126">
        <f t="shared" si="2"/>
        <v>52</v>
      </c>
      <c r="DA8" s="127">
        <f t="shared" si="3"/>
        <v>70</v>
      </c>
      <c r="DB8" s="127">
        <f t="shared" si="4"/>
        <v>22</v>
      </c>
      <c r="DC8" s="127">
        <f t="shared" si="5"/>
        <v>47</v>
      </c>
      <c r="DD8" s="127">
        <f t="shared" si="6"/>
        <v>68</v>
      </c>
      <c r="DE8" s="127">
        <f t="shared" si="7"/>
        <v>80</v>
      </c>
      <c r="DF8" s="127">
        <f t="shared" si="8"/>
        <v>41</v>
      </c>
      <c r="DG8" s="127">
        <f t="shared" si="9"/>
        <v>40</v>
      </c>
      <c r="DH8" s="127">
        <f t="shared" si="10"/>
        <v>50</v>
      </c>
      <c r="DI8" s="138"/>
    </row>
    <row r="9" ht="22.5" customHeight="1">
      <c r="A9" s="142" t="str">
        <f t="shared" si="1"/>
        <v>Tereza Cristina Cruz|Luna</v>
      </c>
      <c r="B9" s="131">
        <v>46257.48988681713</v>
      </c>
      <c r="C9" s="132" t="s">
        <v>257</v>
      </c>
      <c r="D9" s="132" t="s">
        <v>258</v>
      </c>
      <c r="E9" s="132">
        <v>2.1999174705E10</v>
      </c>
      <c r="F9" s="132" t="s">
        <v>259</v>
      </c>
      <c r="G9" s="132" t="s">
        <v>260</v>
      </c>
      <c r="H9" s="132" t="s">
        <v>229</v>
      </c>
      <c r="I9" s="132" t="s">
        <v>261</v>
      </c>
      <c r="J9" s="106" t="s">
        <v>198</v>
      </c>
      <c r="K9" s="132" t="s">
        <v>262</v>
      </c>
      <c r="L9" s="132">
        <v>10.0</v>
      </c>
      <c r="M9" s="132">
        <v>5.0</v>
      </c>
      <c r="N9" s="132">
        <v>0.0</v>
      </c>
      <c r="O9" s="132">
        <v>7.0</v>
      </c>
      <c r="P9" s="132">
        <v>10.0</v>
      </c>
      <c r="Q9" s="132" t="s">
        <v>202</v>
      </c>
      <c r="R9" s="132">
        <v>7.0</v>
      </c>
      <c r="S9" s="132">
        <v>10.0</v>
      </c>
      <c r="T9" s="132">
        <v>6.0</v>
      </c>
      <c r="U9" s="132">
        <v>0.0</v>
      </c>
      <c r="V9" s="132">
        <v>0.0</v>
      </c>
      <c r="W9" s="132">
        <v>3.0</v>
      </c>
      <c r="X9" s="132">
        <v>9.0</v>
      </c>
      <c r="Y9" s="132">
        <v>10.0</v>
      </c>
      <c r="Z9" s="132">
        <v>10.0</v>
      </c>
      <c r="AA9" s="132">
        <v>4.0</v>
      </c>
      <c r="AB9" s="132">
        <v>0.0</v>
      </c>
      <c r="AC9" s="132">
        <v>3.0</v>
      </c>
      <c r="AD9" s="132">
        <v>10.0</v>
      </c>
      <c r="AE9" s="132">
        <v>10.0</v>
      </c>
      <c r="AF9" s="132" t="s">
        <v>202</v>
      </c>
      <c r="AG9" s="132" t="s">
        <v>202</v>
      </c>
      <c r="AH9" s="132">
        <v>0.0</v>
      </c>
      <c r="AI9" s="132">
        <v>2.0</v>
      </c>
      <c r="AJ9" s="132">
        <v>2.0</v>
      </c>
      <c r="AK9" s="132">
        <v>2.0</v>
      </c>
      <c r="AL9" s="132">
        <v>2.0</v>
      </c>
      <c r="AM9" s="132">
        <v>9.0</v>
      </c>
      <c r="AN9" s="132" t="s">
        <v>202</v>
      </c>
      <c r="AO9" s="132">
        <v>0.0</v>
      </c>
      <c r="AP9" s="132">
        <v>9.0</v>
      </c>
      <c r="AQ9" s="132">
        <v>9.0</v>
      </c>
      <c r="AR9" s="132">
        <v>9.0</v>
      </c>
      <c r="AS9" s="132">
        <v>7.0</v>
      </c>
      <c r="AT9" s="132">
        <v>10.0</v>
      </c>
      <c r="AU9" s="132">
        <v>10.0</v>
      </c>
      <c r="AV9" s="132">
        <v>10.0</v>
      </c>
      <c r="AW9" s="132">
        <v>0.0</v>
      </c>
      <c r="AX9" s="132">
        <v>10.0</v>
      </c>
      <c r="AY9" s="132">
        <v>3.0</v>
      </c>
      <c r="AZ9" s="132">
        <v>0.0</v>
      </c>
      <c r="BA9" s="132">
        <v>0.0</v>
      </c>
      <c r="BB9" s="132">
        <v>0.0</v>
      </c>
      <c r="BC9" s="132">
        <v>0.0</v>
      </c>
      <c r="BD9" s="132">
        <v>9.0</v>
      </c>
      <c r="BE9" s="132">
        <v>10.0</v>
      </c>
      <c r="BF9" s="132">
        <v>7.0</v>
      </c>
      <c r="BG9" s="132">
        <v>0.0</v>
      </c>
      <c r="BH9" s="132">
        <v>5.0</v>
      </c>
      <c r="BI9" s="132">
        <v>0.0</v>
      </c>
      <c r="BJ9" s="132">
        <v>4.0</v>
      </c>
      <c r="BK9" s="132">
        <v>10.0</v>
      </c>
      <c r="BL9" s="132">
        <v>10.0</v>
      </c>
      <c r="BM9" s="132">
        <v>2.0</v>
      </c>
      <c r="BN9" s="132">
        <v>10.0</v>
      </c>
      <c r="BO9" s="132">
        <v>0.0</v>
      </c>
      <c r="BP9" s="132">
        <v>10.0</v>
      </c>
      <c r="BQ9" s="132">
        <v>0.0</v>
      </c>
      <c r="BR9" s="132">
        <v>0.0</v>
      </c>
      <c r="BS9" s="132">
        <v>10.0</v>
      </c>
      <c r="BT9" s="132">
        <v>0.0</v>
      </c>
      <c r="BU9" s="132">
        <v>0.0</v>
      </c>
      <c r="BV9" s="132">
        <v>10.0</v>
      </c>
      <c r="BW9" s="132">
        <v>0.0</v>
      </c>
      <c r="BX9" s="132">
        <v>0.0</v>
      </c>
      <c r="BY9" s="132">
        <v>0.0</v>
      </c>
      <c r="BZ9" s="132">
        <v>10.0</v>
      </c>
      <c r="CA9" s="132">
        <v>0.0</v>
      </c>
      <c r="CB9" s="132">
        <v>4.0</v>
      </c>
      <c r="CC9" s="132">
        <v>0.0</v>
      </c>
      <c r="CD9" s="132">
        <v>0.0</v>
      </c>
      <c r="CE9" s="132">
        <v>0.0</v>
      </c>
      <c r="CF9" s="132">
        <v>0.0</v>
      </c>
      <c r="CG9" s="132">
        <v>0.0</v>
      </c>
      <c r="CH9" s="132">
        <v>5.0</v>
      </c>
      <c r="CI9" s="132">
        <v>5.0</v>
      </c>
      <c r="CJ9" s="132">
        <v>10.0</v>
      </c>
      <c r="CK9" s="132">
        <v>0.0</v>
      </c>
      <c r="CL9" s="132">
        <v>0.0</v>
      </c>
      <c r="CM9" s="132">
        <v>10.0</v>
      </c>
      <c r="CN9" s="132">
        <v>0.0</v>
      </c>
      <c r="CO9" s="132">
        <v>0.0</v>
      </c>
      <c r="CP9" s="132">
        <v>0.0</v>
      </c>
      <c r="CQ9" s="132">
        <v>2.0</v>
      </c>
      <c r="CR9" s="132">
        <v>0.0</v>
      </c>
      <c r="CS9" s="132">
        <v>0.0</v>
      </c>
      <c r="CT9" s="132">
        <v>3.0</v>
      </c>
      <c r="CU9" s="132">
        <v>0.0</v>
      </c>
      <c r="CV9" s="132">
        <v>3.0</v>
      </c>
      <c r="CW9" s="132">
        <v>0.0</v>
      </c>
      <c r="CX9" s="132" t="s">
        <v>290</v>
      </c>
      <c r="CY9" s="138"/>
      <c r="CZ9" s="126">
        <f t="shared" si="2"/>
        <v>55</v>
      </c>
      <c r="DA9" s="127">
        <f t="shared" si="3"/>
        <v>59</v>
      </c>
      <c r="DB9" s="127">
        <f t="shared" si="4"/>
        <v>17</v>
      </c>
      <c r="DC9" s="127">
        <f t="shared" si="5"/>
        <v>77</v>
      </c>
      <c r="DD9" s="127">
        <f t="shared" si="6"/>
        <v>31</v>
      </c>
      <c r="DE9" s="127">
        <f t="shared" si="7"/>
        <v>56</v>
      </c>
      <c r="DF9" s="127">
        <f t="shared" si="8"/>
        <v>24</v>
      </c>
      <c r="DG9" s="127">
        <f t="shared" si="9"/>
        <v>30</v>
      </c>
      <c r="DH9" s="127">
        <f t="shared" si="10"/>
        <v>8</v>
      </c>
      <c r="DI9" s="138"/>
    </row>
    <row r="10" ht="22.5" customHeight="1">
      <c r="A10" s="142" t="str">
        <f t="shared" si="1"/>
        <v>Tereza Cristina Cruz|Jade</v>
      </c>
      <c r="B10" s="131">
        <v>46257.49599766204</v>
      </c>
      <c r="C10" s="132" t="s">
        <v>257</v>
      </c>
      <c r="D10" s="132" t="s">
        <v>258</v>
      </c>
      <c r="E10" s="132">
        <v>2.1999174705E10</v>
      </c>
      <c r="F10" s="132" t="s">
        <v>259</v>
      </c>
      <c r="G10" s="132" t="s">
        <v>304</v>
      </c>
      <c r="H10" s="132" t="s">
        <v>229</v>
      </c>
      <c r="I10" s="132" t="s">
        <v>307</v>
      </c>
      <c r="J10" s="132" t="s">
        <v>219</v>
      </c>
      <c r="K10" s="132" t="s">
        <v>310</v>
      </c>
      <c r="L10" s="132">
        <v>10.0</v>
      </c>
      <c r="M10" s="132">
        <v>7.0</v>
      </c>
      <c r="N10" s="132">
        <v>0.0</v>
      </c>
      <c r="O10" s="132">
        <v>0.0</v>
      </c>
      <c r="P10" s="132">
        <v>10.0</v>
      </c>
      <c r="Q10" s="132" t="s">
        <v>202</v>
      </c>
      <c r="R10" s="132">
        <v>0.0</v>
      </c>
      <c r="S10" s="132">
        <v>0.0</v>
      </c>
      <c r="T10" s="132">
        <v>0.0</v>
      </c>
      <c r="U10" s="132">
        <v>0.0</v>
      </c>
      <c r="V10" s="132">
        <v>0.0</v>
      </c>
      <c r="W10" s="132">
        <v>10.0</v>
      </c>
      <c r="X10" s="132">
        <v>0.0</v>
      </c>
      <c r="Y10" s="132">
        <v>6.0</v>
      </c>
      <c r="Z10" s="132">
        <v>9.0</v>
      </c>
      <c r="AA10" s="132">
        <v>6.0</v>
      </c>
      <c r="AB10" s="132">
        <v>0.0</v>
      </c>
      <c r="AC10" s="132">
        <v>0.0</v>
      </c>
      <c r="AD10" s="132">
        <v>10.0</v>
      </c>
      <c r="AE10" s="132">
        <v>10.0</v>
      </c>
      <c r="AF10" s="132" t="s">
        <v>202</v>
      </c>
      <c r="AG10" s="132" t="s">
        <v>202</v>
      </c>
      <c r="AH10" s="132">
        <v>6.0</v>
      </c>
      <c r="AI10" s="132">
        <v>7.0</v>
      </c>
      <c r="AJ10" s="132">
        <v>7.0</v>
      </c>
      <c r="AK10" s="132">
        <v>7.0</v>
      </c>
      <c r="AL10" s="132">
        <v>0.0</v>
      </c>
      <c r="AM10" s="132">
        <v>0.0</v>
      </c>
      <c r="AN10" s="132" t="s">
        <v>202</v>
      </c>
      <c r="AO10" s="132">
        <v>2.0</v>
      </c>
      <c r="AP10" s="132">
        <v>10.0</v>
      </c>
      <c r="AQ10" s="132">
        <v>9.0</v>
      </c>
      <c r="AR10" s="132">
        <v>10.0</v>
      </c>
      <c r="AS10" s="132">
        <v>9.0</v>
      </c>
      <c r="AT10" s="132">
        <v>10.0</v>
      </c>
      <c r="AU10" s="132">
        <v>10.0</v>
      </c>
      <c r="AV10" s="132">
        <v>10.0</v>
      </c>
      <c r="AW10" s="132">
        <v>7.0</v>
      </c>
      <c r="AX10" s="132">
        <v>10.0</v>
      </c>
      <c r="AY10" s="132">
        <v>10.0</v>
      </c>
      <c r="AZ10" s="132">
        <v>10.0</v>
      </c>
      <c r="BA10" s="132">
        <v>0.0</v>
      </c>
      <c r="BB10" s="132">
        <v>0.0</v>
      </c>
      <c r="BC10" s="132">
        <v>0.0</v>
      </c>
      <c r="BD10" s="132">
        <v>10.0</v>
      </c>
      <c r="BE10" s="132">
        <v>10.0</v>
      </c>
      <c r="BF10" s="132">
        <v>10.0</v>
      </c>
      <c r="BG10" s="132">
        <v>0.0</v>
      </c>
      <c r="BH10" s="132">
        <v>0.0</v>
      </c>
      <c r="BI10" s="132">
        <v>0.0</v>
      </c>
      <c r="BJ10" s="132">
        <v>6.0</v>
      </c>
      <c r="BK10" s="132">
        <v>10.0</v>
      </c>
      <c r="BL10" s="132">
        <v>0.0</v>
      </c>
      <c r="BM10" s="132">
        <v>0.0</v>
      </c>
      <c r="BN10" s="132">
        <v>10.0</v>
      </c>
      <c r="BO10" s="132">
        <v>10.0</v>
      </c>
      <c r="BP10" s="132">
        <v>10.0</v>
      </c>
      <c r="BQ10" s="132">
        <v>0.0</v>
      </c>
      <c r="BR10" s="132">
        <v>0.0</v>
      </c>
      <c r="BS10" s="132">
        <v>10.0</v>
      </c>
      <c r="BT10" s="132">
        <v>10.0</v>
      </c>
      <c r="BU10" s="132">
        <v>0.0</v>
      </c>
      <c r="BV10" s="132">
        <v>10.0</v>
      </c>
      <c r="BW10" s="132">
        <v>10.0</v>
      </c>
      <c r="BX10" s="132">
        <v>0.0</v>
      </c>
      <c r="BY10" s="132">
        <v>0.0</v>
      </c>
      <c r="BZ10" s="132">
        <v>10.0</v>
      </c>
      <c r="CA10" s="132">
        <v>0.0</v>
      </c>
      <c r="CB10" s="132">
        <v>0.0</v>
      </c>
      <c r="CC10" s="132">
        <v>10.0</v>
      </c>
      <c r="CD10" s="132">
        <v>0.0</v>
      </c>
      <c r="CE10" s="132">
        <v>10.0</v>
      </c>
      <c r="CF10" s="132">
        <v>0.0</v>
      </c>
      <c r="CG10" s="132">
        <v>0.0</v>
      </c>
      <c r="CH10" s="132">
        <v>0.0</v>
      </c>
      <c r="CI10" s="132">
        <v>0.0</v>
      </c>
      <c r="CJ10" s="132">
        <v>10.0</v>
      </c>
      <c r="CK10" s="132">
        <v>10.0</v>
      </c>
      <c r="CL10" s="132">
        <v>10.0</v>
      </c>
      <c r="CM10" s="132">
        <v>10.0</v>
      </c>
      <c r="CN10" s="132">
        <v>6.0</v>
      </c>
      <c r="CO10" s="132">
        <v>0.0</v>
      </c>
      <c r="CP10" s="132">
        <v>0.0</v>
      </c>
      <c r="CQ10" s="132">
        <v>0.0</v>
      </c>
      <c r="CR10" s="132">
        <v>5.0</v>
      </c>
      <c r="CS10" s="132">
        <v>5.0</v>
      </c>
      <c r="CT10" s="132">
        <v>0.0</v>
      </c>
      <c r="CU10" s="132">
        <v>0.0</v>
      </c>
      <c r="CV10" s="132">
        <v>10.0</v>
      </c>
      <c r="CW10" s="132">
        <v>0.0</v>
      </c>
      <c r="CX10" s="132" t="s">
        <v>327</v>
      </c>
      <c r="CY10" s="138"/>
      <c r="CZ10" s="126">
        <f t="shared" si="2"/>
        <v>27</v>
      </c>
      <c r="DA10" s="127">
        <f t="shared" si="3"/>
        <v>51</v>
      </c>
      <c r="DB10" s="127">
        <f t="shared" si="4"/>
        <v>29</v>
      </c>
      <c r="DC10" s="127">
        <f t="shared" si="5"/>
        <v>95</v>
      </c>
      <c r="DD10" s="127">
        <f t="shared" si="6"/>
        <v>40</v>
      </c>
      <c r="DE10" s="127">
        <f t="shared" si="7"/>
        <v>56</v>
      </c>
      <c r="DF10" s="127">
        <f t="shared" si="8"/>
        <v>50</v>
      </c>
      <c r="DG10" s="127">
        <f t="shared" si="9"/>
        <v>50</v>
      </c>
      <c r="DH10" s="127">
        <f t="shared" si="10"/>
        <v>26</v>
      </c>
      <c r="DI10" s="138"/>
    </row>
    <row r="11" ht="22.5" customHeight="1">
      <c r="A11" s="104" t="str">
        <f t="shared" si="1"/>
        <v>Milla souza |Dumbo </v>
      </c>
      <c r="B11" s="131">
        <v>46257.58260753472</v>
      </c>
      <c r="C11" s="132" t="s">
        <v>328</v>
      </c>
      <c r="D11" s="132" t="s">
        <v>329</v>
      </c>
      <c r="E11" s="132">
        <v>2.1992763069E10</v>
      </c>
      <c r="F11" s="132" t="s">
        <v>330</v>
      </c>
      <c r="G11" s="132" t="s">
        <v>331</v>
      </c>
      <c r="H11" s="132" t="s">
        <v>332</v>
      </c>
      <c r="I11" s="132" t="s">
        <v>333</v>
      </c>
      <c r="J11" s="132" t="s">
        <v>219</v>
      </c>
      <c r="K11" s="132" t="s">
        <v>334</v>
      </c>
      <c r="L11" s="132">
        <v>10.0</v>
      </c>
      <c r="M11" s="132">
        <v>10.0</v>
      </c>
      <c r="N11" s="132">
        <v>0.0</v>
      </c>
      <c r="O11" s="132">
        <v>3.0</v>
      </c>
      <c r="P11" s="132">
        <v>8.0</v>
      </c>
      <c r="Q11" s="132" t="s">
        <v>82</v>
      </c>
      <c r="R11" s="132">
        <v>6.0</v>
      </c>
      <c r="S11" s="132">
        <v>4.0</v>
      </c>
      <c r="T11" s="132">
        <v>6.0</v>
      </c>
      <c r="U11" s="132">
        <v>0.0</v>
      </c>
      <c r="V11" s="132">
        <v>0.0</v>
      </c>
      <c r="W11" s="132">
        <v>7.0</v>
      </c>
      <c r="X11" s="132">
        <v>8.0</v>
      </c>
      <c r="Y11" s="132">
        <v>10.0</v>
      </c>
      <c r="Z11" s="132">
        <v>6.0</v>
      </c>
      <c r="AA11" s="132">
        <v>10.0</v>
      </c>
      <c r="AB11" s="132">
        <v>8.0</v>
      </c>
      <c r="AC11" s="132">
        <v>4.0</v>
      </c>
      <c r="AD11" s="132">
        <v>10.0</v>
      </c>
      <c r="AE11" s="132">
        <v>10.0</v>
      </c>
      <c r="AF11" s="132" t="s">
        <v>202</v>
      </c>
      <c r="AG11" s="132" t="s">
        <v>202</v>
      </c>
      <c r="AH11" s="132">
        <v>5.0</v>
      </c>
      <c r="AI11" s="132">
        <v>10.0</v>
      </c>
      <c r="AJ11" s="132">
        <v>4.0</v>
      </c>
      <c r="AK11" s="132">
        <v>10.0</v>
      </c>
      <c r="AL11" s="132">
        <v>0.0</v>
      </c>
      <c r="AM11" s="132">
        <v>10.0</v>
      </c>
      <c r="AN11" s="132" t="s">
        <v>202</v>
      </c>
      <c r="AO11" s="132">
        <v>0.0</v>
      </c>
      <c r="AP11" s="132">
        <v>9.0</v>
      </c>
      <c r="AQ11" s="132">
        <v>0.0</v>
      </c>
      <c r="AR11" s="132">
        <v>10.0</v>
      </c>
      <c r="AS11" s="132">
        <v>0.0</v>
      </c>
      <c r="AT11" s="132">
        <v>8.0</v>
      </c>
      <c r="AU11" s="132">
        <v>0.0</v>
      </c>
      <c r="AV11" s="132">
        <v>0.0</v>
      </c>
      <c r="AW11" s="132">
        <v>0.0</v>
      </c>
      <c r="AX11" s="132">
        <v>0.0</v>
      </c>
      <c r="AY11" s="132">
        <v>0.0</v>
      </c>
      <c r="AZ11" s="132">
        <v>9.0</v>
      </c>
      <c r="BA11" s="132">
        <v>10.0</v>
      </c>
      <c r="BB11" s="132">
        <v>10.0</v>
      </c>
      <c r="BC11" s="132">
        <v>10.0</v>
      </c>
      <c r="BD11" s="132">
        <v>10.0</v>
      </c>
      <c r="BE11" s="132">
        <v>10.0</v>
      </c>
      <c r="BF11" s="132">
        <v>10.0</v>
      </c>
      <c r="BG11" s="132">
        <v>10.0</v>
      </c>
      <c r="BH11" s="132">
        <v>10.0</v>
      </c>
      <c r="BI11" s="132">
        <v>10.0</v>
      </c>
      <c r="BJ11" s="132">
        <v>8.0</v>
      </c>
      <c r="BK11" s="132">
        <v>9.0</v>
      </c>
      <c r="BL11" s="132">
        <v>10.0</v>
      </c>
      <c r="BM11" s="132">
        <v>10.0</v>
      </c>
      <c r="BN11" s="132">
        <v>10.0</v>
      </c>
      <c r="BO11" s="132">
        <v>7.0</v>
      </c>
      <c r="BP11" s="132">
        <v>8.0</v>
      </c>
      <c r="BQ11" s="132">
        <v>10.0</v>
      </c>
      <c r="BR11" s="132">
        <v>10.0</v>
      </c>
      <c r="BS11" s="132">
        <v>8.0</v>
      </c>
      <c r="BT11" s="132">
        <v>8.0</v>
      </c>
      <c r="BU11" s="132">
        <v>5.0</v>
      </c>
      <c r="BV11" s="132">
        <v>0.0</v>
      </c>
      <c r="BW11" s="132">
        <v>4.0</v>
      </c>
      <c r="BX11" s="132">
        <v>0.0</v>
      </c>
      <c r="BY11" s="132">
        <v>0.0</v>
      </c>
      <c r="BZ11" s="132">
        <v>9.0</v>
      </c>
      <c r="CA11" s="132">
        <v>0.0</v>
      </c>
      <c r="CB11" s="132">
        <v>4.0</v>
      </c>
      <c r="CC11" s="132">
        <v>8.0</v>
      </c>
      <c r="CD11" s="132">
        <v>4.0</v>
      </c>
      <c r="CE11" s="132">
        <v>1.0</v>
      </c>
      <c r="CF11" s="132">
        <v>0.0</v>
      </c>
      <c r="CG11" s="132">
        <v>0.0</v>
      </c>
      <c r="CH11" s="132">
        <v>5.0</v>
      </c>
      <c r="CI11" s="132">
        <v>5.0</v>
      </c>
      <c r="CJ11" s="132">
        <v>6.0</v>
      </c>
      <c r="CK11" s="132">
        <v>0.0</v>
      </c>
      <c r="CL11" s="132">
        <v>0.0</v>
      </c>
      <c r="CM11" s="132">
        <v>5.0</v>
      </c>
      <c r="CN11" s="132">
        <v>8.0</v>
      </c>
      <c r="CO11" s="132">
        <v>1.0</v>
      </c>
      <c r="CP11" s="132">
        <v>4.0</v>
      </c>
      <c r="CQ11" s="132">
        <v>0.0</v>
      </c>
      <c r="CR11" s="132">
        <v>6.0</v>
      </c>
      <c r="CS11" s="132">
        <v>5.0</v>
      </c>
      <c r="CT11" s="132">
        <v>0.0</v>
      </c>
      <c r="CU11" s="132">
        <v>0.0</v>
      </c>
      <c r="CV11" s="132">
        <v>0.0</v>
      </c>
      <c r="CW11" s="132">
        <v>0.0</v>
      </c>
      <c r="CX11" s="132" t="s">
        <v>335</v>
      </c>
      <c r="CY11" s="138"/>
      <c r="CZ11" s="126">
        <f t="shared" si="2"/>
        <v>47</v>
      </c>
      <c r="DA11" s="127">
        <f t="shared" si="3"/>
        <v>73</v>
      </c>
      <c r="DB11" s="127">
        <f t="shared" si="4"/>
        <v>39</v>
      </c>
      <c r="DC11" s="127">
        <f t="shared" si="5"/>
        <v>27</v>
      </c>
      <c r="DD11" s="127">
        <f t="shared" si="6"/>
        <v>99</v>
      </c>
      <c r="DE11" s="127">
        <f t="shared" si="7"/>
        <v>90</v>
      </c>
      <c r="DF11" s="127">
        <f t="shared" si="8"/>
        <v>38</v>
      </c>
      <c r="DG11" s="127">
        <f t="shared" si="9"/>
        <v>26</v>
      </c>
      <c r="DH11" s="127">
        <f t="shared" si="10"/>
        <v>24</v>
      </c>
      <c r="DI11" s="138"/>
    </row>
    <row r="12" ht="22.5" customHeight="1">
      <c r="A12" s="104" t="str">
        <f t="shared" si="1"/>
        <v>Lusinete dos Santos Cobe |Zaion </v>
      </c>
      <c r="B12" s="131">
        <v>46257.765843587964</v>
      </c>
      <c r="C12" s="132" t="s">
        <v>336</v>
      </c>
      <c r="D12" s="132" t="s">
        <v>337</v>
      </c>
      <c r="E12" s="132" t="s">
        <v>338</v>
      </c>
      <c r="F12" s="132" t="s">
        <v>339</v>
      </c>
      <c r="G12" s="132" t="s">
        <v>340</v>
      </c>
      <c r="H12" s="132" t="s">
        <v>341</v>
      </c>
      <c r="I12" s="132" t="s">
        <v>342</v>
      </c>
      <c r="J12" s="132" t="s">
        <v>219</v>
      </c>
      <c r="K12" s="132" t="s">
        <v>343</v>
      </c>
      <c r="L12" s="132">
        <v>10.0</v>
      </c>
      <c r="M12" s="132">
        <v>10.0</v>
      </c>
      <c r="N12" s="132">
        <v>10.0</v>
      </c>
      <c r="O12" s="132">
        <v>10.0</v>
      </c>
      <c r="P12" s="132">
        <v>10.0</v>
      </c>
      <c r="Q12" s="132" t="s">
        <v>202</v>
      </c>
      <c r="R12" s="132">
        <v>10.0</v>
      </c>
      <c r="S12" s="132">
        <v>10.0</v>
      </c>
      <c r="T12" s="132">
        <v>0.0</v>
      </c>
      <c r="U12" s="132">
        <v>0.0</v>
      </c>
      <c r="V12" s="132">
        <v>0.0</v>
      </c>
      <c r="W12" s="132">
        <v>0.0</v>
      </c>
      <c r="X12" s="132">
        <v>10.0</v>
      </c>
      <c r="Y12" s="132">
        <v>0.0</v>
      </c>
      <c r="Z12" s="132">
        <v>10.0</v>
      </c>
      <c r="AA12" s="132">
        <v>10.0</v>
      </c>
      <c r="AB12" s="132">
        <v>0.0</v>
      </c>
      <c r="AC12" s="132">
        <v>10.0</v>
      </c>
      <c r="AD12" s="132">
        <v>10.0</v>
      </c>
      <c r="AE12" s="132">
        <v>10.0</v>
      </c>
      <c r="AF12" s="132" t="s">
        <v>202</v>
      </c>
      <c r="AG12" s="132" t="s">
        <v>202</v>
      </c>
      <c r="AH12" s="132">
        <v>0.0</v>
      </c>
      <c r="AI12" s="132">
        <v>10.0</v>
      </c>
      <c r="AJ12" s="132">
        <v>0.0</v>
      </c>
      <c r="AK12" s="132">
        <v>0.0</v>
      </c>
      <c r="AL12" s="132">
        <v>0.0</v>
      </c>
      <c r="AM12" s="132">
        <v>10.0</v>
      </c>
      <c r="AN12" s="132" t="s">
        <v>202</v>
      </c>
      <c r="AO12" s="132">
        <v>0.0</v>
      </c>
      <c r="AP12" s="132">
        <v>10.0</v>
      </c>
      <c r="AQ12" s="132">
        <v>10.0</v>
      </c>
      <c r="AR12" s="132">
        <v>10.0</v>
      </c>
      <c r="AS12" s="132">
        <v>0.0</v>
      </c>
      <c r="AT12" s="132">
        <v>0.0</v>
      </c>
      <c r="AU12" s="132">
        <v>0.0</v>
      </c>
      <c r="AV12" s="132">
        <v>0.0</v>
      </c>
      <c r="AW12" s="132">
        <v>0.0</v>
      </c>
      <c r="AX12" s="132">
        <v>10.0</v>
      </c>
      <c r="AY12" s="132">
        <v>10.0</v>
      </c>
      <c r="AZ12" s="132">
        <v>10.0</v>
      </c>
      <c r="BA12" s="132">
        <v>10.0</v>
      </c>
      <c r="BB12" s="132">
        <v>10.0</v>
      </c>
      <c r="BC12" s="132">
        <v>10.0</v>
      </c>
      <c r="BD12" s="132">
        <v>10.0</v>
      </c>
      <c r="BE12" s="132">
        <v>10.0</v>
      </c>
      <c r="BF12" s="132">
        <v>10.0</v>
      </c>
      <c r="BG12" s="132">
        <v>10.0</v>
      </c>
      <c r="BH12" s="132">
        <v>10.0</v>
      </c>
      <c r="BI12" s="132">
        <v>10.0</v>
      </c>
      <c r="BJ12" s="132">
        <v>10.0</v>
      </c>
      <c r="BK12" s="132">
        <v>10.0</v>
      </c>
      <c r="BL12" s="132">
        <v>10.0</v>
      </c>
      <c r="BM12" s="132">
        <v>10.0</v>
      </c>
      <c r="BN12" s="132">
        <v>10.0</v>
      </c>
      <c r="BO12" s="132">
        <v>10.0</v>
      </c>
      <c r="BP12" s="132">
        <v>10.0</v>
      </c>
      <c r="BQ12" s="132">
        <v>10.0</v>
      </c>
      <c r="BR12" s="132">
        <v>10.0</v>
      </c>
      <c r="BS12" s="132">
        <v>10.0</v>
      </c>
      <c r="BT12" s="132">
        <v>0.0</v>
      </c>
      <c r="BU12" s="132">
        <v>0.0</v>
      </c>
      <c r="BV12" s="132">
        <v>10.0</v>
      </c>
      <c r="BW12" s="132">
        <v>0.0</v>
      </c>
      <c r="BX12" s="132">
        <v>0.0</v>
      </c>
      <c r="BY12" s="132">
        <v>0.0</v>
      </c>
      <c r="BZ12" s="132">
        <v>10.0</v>
      </c>
      <c r="CA12" s="132">
        <v>0.0</v>
      </c>
      <c r="CB12" s="132">
        <v>0.0</v>
      </c>
      <c r="CC12" s="132">
        <v>0.0</v>
      </c>
      <c r="CD12" s="132">
        <v>10.0</v>
      </c>
      <c r="CE12" s="132">
        <v>10.0</v>
      </c>
      <c r="CF12" s="132">
        <v>10.0</v>
      </c>
      <c r="CG12" s="132">
        <v>0.0</v>
      </c>
      <c r="CH12" s="132">
        <v>10.0</v>
      </c>
      <c r="CI12" s="132">
        <v>0.0</v>
      </c>
      <c r="CJ12" s="132">
        <v>0.0</v>
      </c>
      <c r="CK12" s="132">
        <v>0.0</v>
      </c>
      <c r="CL12" s="132">
        <v>10.0</v>
      </c>
      <c r="CM12" s="132">
        <v>0.0</v>
      </c>
      <c r="CN12" s="132">
        <v>10.0</v>
      </c>
      <c r="CO12" s="132">
        <v>0.0</v>
      </c>
      <c r="CP12" s="132">
        <v>0.0</v>
      </c>
      <c r="CQ12" s="132">
        <v>0.0</v>
      </c>
      <c r="CR12" s="132">
        <v>10.0</v>
      </c>
      <c r="CS12" s="132">
        <v>0.0</v>
      </c>
      <c r="CT12" s="132">
        <v>0.0</v>
      </c>
      <c r="CU12" s="132">
        <v>0.0</v>
      </c>
      <c r="CV12" s="132">
        <v>0.0</v>
      </c>
      <c r="CW12" s="132">
        <v>10.0</v>
      </c>
      <c r="CX12" s="132" t="s">
        <v>344</v>
      </c>
      <c r="CY12" s="138"/>
      <c r="CZ12" s="126">
        <f t="shared" si="2"/>
        <v>70</v>
      </c>
      <c r="DA12" s="127">
        <f t="shared" si="3"/>
        <v>60</v>
      </c>
      <c r="DB12" s="127">
        <f t="shared" si="4"/>
        <v>20</v>
      </c>
      <c r="DC12" s="127">
        <f t="shared" si="5"/>
        <v>50</v>
      </c>
      <c r="DD12" s="127">
        <f t="shared" si="6"/>
        <v>100</v>
      </c>
      <c r="DE12" s="127">
        <f t="shared" si="7"/>
        <v>100</v>
      </c>
      <c r="DF12" s="127">
        <f t="shared" si="8"/>
        <v>20</v>
      </c>
      <c r="DG12" s="127">
        <f t="shared" si="9"/>
        <v>50</v>
      </c>
      <c r="DH12" s="127">
        <f t="shared" si="10"/>
        <v>30</v>
      </c>
      <c r="DI12" s="138"/>
    </row>
    <row r="13" ht="22.5" customHeight="1">
      <c r="A13" s="104" t="str">
        <f t="shared" si="1"/>
        <v>Sergio Vinícius Alves Barros |Martín Silva</v>
      </c>
      <c r="B13" s="131">
        <v>46257.89853384259</v>
      </c>
      <c r="C13" s="132" t="s">
        <v>345</v>
      </c>
      <c r="D13" s="132" t="s">
        <v>346</v>
      </c>
      <c r="E13" s="132">
        <v>2.1982738364E10</v>
      </c>
      <c r="F13" s="132" t="s">
        <v>347</v>
      </c>
      <c r="G13" s="132" t="s">
        <v>348</v>
      </c>
      <c r="H13" s="132" t="s">
        <v>349</v>
      </c>
      <c r="I13" s="132">
        <v>7.0</v>
      </c>
      <c r="J13" s="106" t="s">
        <v>198</v>
      </c>
      <c r="K13" s="132" t="s">
        <v>350</v>
      </c>
      <c r="L13" s="132">
        <v>10.0</v>
      </c>
      <c r="M13" s="132">
        <v>9.0</v>
      </c>
      <c r="N13" s="132">
        <v>0.0</v>
      </c>
      <c r="O13" s="132">
        <v>10.0</v>
      </c>
      <c r="P13" s="132">
        <v>7.0</v>
      </c>
      <c r="Q13" s="132" t="s">
        <v>202</v>
      </c>
      <c r="R13" s="132">
        <v>9.0</v>
      </c>
      <c r="S13" s="132">
        <v>8.0</v>
      </c>
      <c r="T13" s="132">
        <v>0.0</v>
      </c>
      <c r="U13" s="132">
        <v>0.0</v>
      </c>
      <c r="V13" s="132">
        <v>0.0</v>
      </c>
      <c r="W13" s="132">
        <v>5.0</v>
      </c>
      <c r="X13" s="132">
        <v>3.0</v>
      </c>
      <c r="Y13" s="132">
        <v>0.0</v>
      </c>
      <c r="Z13" s="132">
        <v>3.0</v>
      </c>
      <c r="AA13" s="132">
        <v>0.0</v>
      </c>
      <c r="AB13" s="132">
        <v>6.0</v>
      </c>
      <c r="AC13" s="132">
        <v>0.0</v>
      </c>
      <c r="AD13" s="132">
        <v>10.0</v>
      </c>
      <c r="AE13" s="132">
        <v>10.0</v>
      </c>
      <c r="AF13" s="132" t="s">
        <v>202</v>
      </c>
      <c r="AG13" s="132" t="s">
        <v>202</v>
      </c>
      <c r="AH13" s="132">
        <v>5.0</v>
      </c>
      <c r="AI13" s="132">
        <v>9.0</v>
      </c>
      <c r="AJ13" s="132">
        <v>9.0</v>
      </c>
      <c r="AK13" s="132">
        <v>3.0</v>
      </c>
      <c r="AL13" s="132">
        <v>8.0</v>
      </c>
      <c r="AM13" s="132">
        <v>8.0</v>
      </c>
      <c r="AN13" s="132" t="s">
        <v>202</v>
      </c>
      <c r="AO13" s="132">
        <v>7.0</v>
      </c>
      <c r="AP13" s="132">
        <v>8.0</v>
      </c>
      <c r="AQ13" s="132">
        <v>7.0</v>
      </c>
      <c r="AR13" s="132">
        <v>7.0</v>
      </c>
      <c r="AS13" s="132">
        <v>8.0</v>
      </c>
      <c r="AT13" s="132">
        <v>0.0</v>
      </c>
      <c r="AU13" s="132">
        <v>0.0</v>
      </c>
      <c r="AV13" s="132">
        <v>0.0</v>
      </c>
      <c r="AW13" s="132">
        <v>0.0</v>
      </c>
      <c r="AX13" s="132">
        <v>0.0</v>
      </c>
      <c r="AY13" s="132">
        <v>7.0</v>
      </c>
      <c r="AZ13" s="132">
        <v>7.0</v>
      </c>
      <c r="BA13" s="132">
        <v>8.0</v>
      </c>
      <c r="BB13" s="132">
        <v>9.0</v>
      </c>
      <c r="BC13" s="132">
        <v>7.0</v>
      </c>
      <c r="BD13" s="132">
        <v>9.0</v>
      </c>
      <c r="BE13" s="132">
        <v>8.0</v>
      </c>
      <c r="BF13" s="132">
        <v>4.0</v>
      </c>
      <c r="BG13" s="132">
        <v>9.0</v>
      </c>
      <c r="BH13" s="132">
        <v>0.0</v>
      </c>
      <c r="BI13" s="132">
        <v>3.0</v>
      </c>
      <c r="BJ13" s="132">
        <v>0.0</v>
      </c>
      <c r="BK13" s="132">
        <v>9.0</v>
      </c>
      <c r="BL13" s="132">
        <v>5.0</v>
      </c>
      <c r="BM13" s="132">
        <v>10.0</v>
      </c>
      <c r="BN13" s="132">
        <v>3.0</v>
      </c>
      <c r="BO13" s="132">
        <v>7.0</v>
      </c>
      <c r="BP13" s="132">
        <v>7.0</v>
      </c>
      <c r="BQ13" s="132">
        <v>7.0</v>
      </c>
      <c r="BR13" s="132">
        <v>0.0</v>
      </c>
      <c r="BS13" s="132">
        <v>10.0</v>
      </c>
      <c r="BT13" s="132">
        <v>8.0</v>
      </c>
      <c r="BU13" s="132">
        <v>3.0</v>
      </c>
      <c r="BV13" s="132">
        <v>2.0</v>
      </c>
      <c r="BW13" s="132">
        <v>10.0</v>
      </c>
      <c r="BX13" s="132">
        <v>7.0</v>
      </c>
      <c r="BY13" s="132">
        <v>0.0</v>
      </c>
      <c r="BZ13" s="132">
        <v>4.0</v>
      </c>
      <c r="CA13" s="132">
        <v>0.0</v>
      </c>
      <c r="CB13" s="132">
        <v>8.0</v>
      </c>
      <c r="CC13" s="132">
        <v>0.0</v>
      </c>
      <c r="CD13" s="132">
        <v>0.0</v>
      </c>
      <c r="CE13" s="132">
        <v>5.0</v>
      </c>
      <c r="CF13" s="132">
        <v>5.0</v>
      </c>
      <c r="CG13" s="132">
        <v>0.0</v>
      </c>
      <c r="CH13" s="132">
        <v>2.0</v>
      </c>
      <c r="CI13" s="132">
        <v>2.0</v>
      </c>
      <c r="CJ13" s="132">
        <v>3.0</v>
      </c>
      <c r="CK13" s="132">
        <v>2.0</v>
      </c>
      <c r="CL13" s="132">
        <v>7.0</v>
      </c>
      <c r="CM13" s="132">
        <v>8.0</v>
      </c>
      <c r="CN13" s="132">
        <v>9.0</v>
      </c>
      <c r="CO13" s="132">
        <v>1.0</v>
      </c>
      <c r="CP13" s="132">
        <v>5.0</v>
      </c>
      <c r="CQ13" s="132">
        <v>0.0</v>
      </c>
      <c r="CR13" s="132">
        <v>0.0</v>
      </c>
      <c r="CS13" s="132">
        <v>5.0</v>
      </c>
      <c r="CT13" s="132">
        <v>5.0</v>
      </c>
      <c r="CU13" s="132">
        <v>2.0</v>
      </c>
      <c r="CV13" s="132">
        <v>10.0</v>
      </c>
      <c r="CW13" s="132">
        <v>8.0</v>
      </c>
      <c r="CX13" s="132" t="s">
        <v>351</v>
      </c>
      <c r="CY13" s="138"/>
      <c r="CZ13" s="126">
        <f t="shared" si="2"/>
        <v>53</v>
      </c>
      <c r="DA13" s="127">
        <f t="shared" si="3"/>
        <v>37</v>
      </c>
      <c r="DB13" s="127">
        <f t="shared" si="4"/>
        <v>49</v>
      </c>
      <c r="DC13" s="127">
        <f t="shared" si="5"/>
        <v>37</v>
      </c>
      <c r="DD13" s="127">
        <f t="shared" si="6"/>
        <v>64</v>
      </c>
      <c r="DE13" s="127">
        <f t="shared" si="7"/>
        <v>58</v>
      </c>
      <c r="DF13" s="127">
        <f t="shared" si="8"/>
        <v>42</v>
      </c>
      <c r="DG13" s="127">
        <f t="shared" si="9"/>
        <v>34</v>
      </c>
      <c r="DH13" s="127">
        <f t="shared" si="10"/>
        <v>45</v>
      </c>
      <c r="DI13" s="138"/>
    </row>
    <row r="14" ht="22.5" customHeight="1">
      <c r="A14" s="104" t="str">
        <f t="shared" si="1"/>
        <v>Heloisa Pisa|Olívia</v>
      </c>
      <c r="B14" s="131">
        <v>46257.920911354166</v>
      </c>
      <c r="C14" s="132" t="s">
        <v>352</v>
      </c>
      <c r="D14" s="132" t="s">
        <v>353</v>
      </c>
      <c r="E14" s="132">
        <v>2.18879229E9</v>
      </c>
      <c r="F14" s="132" t="s">
        <v>354</v>
      </c>
      <c r="G14" s="132" t="s">
        <v>355</v>
      </c>
      <c r="H14" s="132" t="s">
        <v>356</v>
      </c>
      <c r="I14" s="132" t="s">
        <v>357</v>
      </c>
      <c r="J14" s="132" t="s">
        <v>219</v>
      </c>
      <c r="K14" s="132" t="s">
        <v>358</v>
      </c>
      <c r="L14" s="132">
        <v>9.0</v>
      </c>
      <c r="M14" s="132">
        <v>6.0</v>
      </c>
      <c r="N14" s="132">
        <v>0.0</v>
      </c>
      <c r="O14" s="132">
        <v>2.0</v>
      </c>
      <c r="P14" s="132">
        <v>8.0</v>
      </c>
      <c r="Q14" s="132" t="s">
        <v>202</v>
      </c>
      <c r="R14" s="132">
        <v>9.0</v>
      </c>
      <c r="S14" s="132">
        <v>7.0</v>
      </c>
      <c r="T14" s="132">
        <v>3.0</v>
      </c>
      <c r="U14" s="132">
        <v>0.0</v>
      </c>
      <c r="V14" s="132">
        <v>1.0</v>
      </c>
      <c r="W14" s="132">
        <v>7.0</v>
      </c>
      <c r="X14" s="132">
        <v>9.0</v>
      </c>
      <c r="Y14" s="132">
        <v>4.0</v>
      </c>
      <c r="Z14" s="132">
        <v>8.0</v>
      </c>
      <c r="AA14" s="132">
        <v>8.0</v>
      </c>
      <c r="AB14" s="132">
        <v>1.0</v>
      </c>
      <c r="AC14" s="132">
        <v>5.0</v>
      </c>
      <c r="AD14" s="132">
        <v>10.0</v>
      </c>
      <c r="AE14" s="132">
        <v>10.0</v>
      </c>
      <c r="AF14" s="132" t="s">
        <v>202</v>
      </c>
      <c r="AG14" s="132" t="s">
        <v>202</v>
      </c>
      <c r="AH14" s="132">
        <v>0.0</v>
      </c>
      <c r="AI14" s="132">
        <v>10.0</v>
      </c>
      <c r="AJ14" s="132">
        <v>0.0</v>
      </c>
      <c r="AK14" s="132">
        <v>8.0</v>
      </c>
      <c r="AL14" s="132">
        <v>2.0</v>
      </c>
      <c r="AM14" s="132">
        <v>5.0</v>
      </c>
      <c r="AN14" s="132" t="s">
        <v>202</v>
      </c>
      <c r="AO14" s="132">
        <v>0.0</v>
      </c>
      <c r="AP14" s="132">
        <v>0.0</v>
      </c>
      <c r="AQ14" s="132">
        <v>6.0</v>
      </c>
      <c r="AR14" s="132">
        <v>8.0</v>
      </c>
      <c r="AS14" s="132">
        <v>0.0</v>
      </c>
      <c r="AT14" s="132">
        <v>2.0</v>
      </c>
      <c r="AU14" s="132">
        <v>2.0</v>
      </c>
      <c r="AV14" s="132">
        <v>0.0</v>
      </c>
      <c r="AW14" s="132">
        <v>3.0</v>
      </c>
      <c r="AX14" s="132">
        <v>9.0</v>
      </c>
      <c r="AY14" s="132">
        <v>3.0</v>
      </c>
      <c r="AZ14" s="132">
        <v>8.0</v>
      </c>
      <c r="BA14" s="132">
        <v>10.0</v>
      </c>
      <c r="BB14" s="132">
        <v>10.0</v>
      </c>
      <c r="BC14" s="132">
        <v>9.0</v>
      </c>
      <c r="BD14" s="132">
        <v>8.0</v>
      </c>
      <c r="BE14" s="132">
        <v>4.0</v>
      </c>
      <c r="BF14" s="132">
        <v>7.0</v>
      </c>
      <c r="BG14" s="132">
        <v>7.0</v>
      </c>
      <c r="BH14" s="132">
        <v>7.0</v>
      </c>
      <c r="BI14" s="132">
        <v>7.0</v>
      </c>
      <c r="BJ14" s="132">
        <v>0.0</v>
      </c>
      <c r="BK14" s="132">
        <v>10.0</v>
      </c>
      <c r="BL14" s="132">
        <v>9.0</v>
      </c>
      <c r="BM14" s="132">
        <v>10.0</v>
      </c>
      <c r="BN14" s="132">
        <v>8.0</v>
      </c>
      <c r="BO14" s="132">
        <v>8.0</v>
      </c>
      <c r="BP14" s="132">
        <v>7.0</v>
      </c>
      <c r="BQ14" s="132">
        <v>9.0</v>
      </c>
      <c r="BR14" s="132">
        <v>10.0</v>
      </c>
      <c r="BS14" s="132">
        <v>7.0</v>
      </c>
      <c r="BT14" s="132">
        <v>1.0</v>
      </c>
      <c r="BU14" s="132">
        <v>1.0</v>
      </c>
      <c r="BV14" s="132">
        <v>1.0</v>
      </c>
      <c r="BW14" s="132">
        <v>1.0</v>
      </c>
      <c r="BX14" s="132">
        <v>0.0</v>
      </c>
      <c r="BY14" s="132">
        <v>0.0</v>
      </c>
      <c r="BZ14" s="132">
        <v>5.0</v>
      </c>
      <c r="CA14" s="132">
        <v>0.0</v>
      </c>
      <c r="CB14" s="132">
        <v>0.0</v>
      </c>
      <c r="CC14" s="132">
        <v>1.0</v>
      </c>
      <c r="CD14" s="132">
        <v>0.0</v>
      </c>
      <c r="CE14" s="132">
        <v>2.0</v>
      </c>
      <c r="CF14" s="132">
        <v>0.0</v>
      </c>
      <c r="CG14" s="132">
        <v>0.0</v>
      </c>
      <c r="CH14" s="132">
        <v>5.0</v>
      </c>
      <c r="CI14" s="132">
        <v>3.0</v>
      </c>
      <c r="CJ14" s="132">
        <v>1.0</v>
      </c>
      <c r="CK14" s="132">
        <v>0.0</v>
      </c>
      <c r="CL14" s="132">
        <v>0.0</v>
      </c>
      <c r="CM14" s="132">
        <v>8.0</v>
      </c>
      <c r="CN14" s="132">
        <v>0.0</v>
      </c>
      <c r="CO14" s="132">
        <v>6.0</v>
      </c>
      <c r="CP14" s="132">
        <v>1.0</v>
      </c>
      <c r="CQ14" s="132">
        <v>2.0</v>
      </c>
      <c r="CR14" s="132">
        <v>0.0</v>
      </c>
      <c r="CS14" s="132">
        <v>0.0</v>
      </c>
      <c r="CT14" s="132">
        <v>5.0</v>
      </c>
      <c r="CU14" s="132">
        <v>0.0</v>
      </c>
      <c r="CV14" s="132">
        <v>0.0</v>
      </c>
      <c r="CW14" s="132">
        <v>1.0</v>
      </c>
      <c r="CX14" s="132" t="s">
        <v>359</v>
      </c>
      <c r="CY14" s="138"/>
      <c r="CZ14" s="126">
        <f t="shared" si="2"/>
        <v>44</v>
      </c>
      <c r="DA14" s="127">
        <f t="shared" si="3"/>
        <v>63</v>
      </c>
      <c r="DB14" s="127">
        <f t="shared" si="4"/>
        <v>25</v>
      </c>
      <c r="DC14" s="127">
        <f t="shared" si="5"/>
        <v>33</v>
      </c>
      <c r="DD14" s="127">
        <f t="shared" si="6"/>
        <v>77</v>
      </c>
      <c r="DE14" s="127">
        <f t="shared" si="7"/>
        <v>78</v>
      </c>
      <c r="DF14" s="127">
        <f t="shared" si="8"/>
        <v>10</v>
      </c>
      <c r="DG14" s="127">
        <f t="shared" si="9"/>
        <v>19</v>
      </c>
      <c r="DH14" s="127">
        <f t="shared" si="10"/>
        <v>15</v>
      </c>
      <c r="DI14" s="138"/>
    </row>
    <row r="15" ht="22.5" customHeight="1">
      <c r="A15" s="104" t="str">
        <f t="shared" si="1"/>
        <v>Barbara Menezes |Poliana</v>
      </c>
      <c r="B15" s="131">
        <v>46258.380125509255</v>
      </c>
      <c r="C15" s="132" t="s">
        <v>360</v>
      </c>
      <c r="D15" s="132" t="s">
        <v>361</v>
      </c>
      <c r="E15" s="132">
        <v>2.1979668998E10</v>
      </c>
      <c r="F15" s="132" t="s">
        <v>360</v>
      </c>
      <c r="G15" s="132" t="s">
        <v>362</v>
      </c>
      <c r="H15" s="132" t="s">
        <v>229</v>
      </c>
      <c r="I15" s="132">
        <v>5.0</v>
      </c>
      <c r="J15" s="106" t="s">
        <v>198</v>
      </c>
      <c r="K15" s="132" t="s">
        <v>363</v>
      </c>
      <c r="L15" s="132">
        <v>10.0</v>
      </c>
      <c r="M15" s="132">
        <v>10.0</v>
      </c>
      <c r="N15" s="132">
        <v>0.0</v>
      </c>
      <c r="O15" s="132">
        <v>4.0</v>
      </c>
      <c r="P15" s="132">
        <v>4.0</v>
      </c>
      <c r="Q15" s="132" t="s">
        <v>202</v>
      </c>
      <c r="R15" s="132">
        <v>9.0</v>
      </c>
      <c r="S15" s="132">
        <v>3.0</v>
      </c>
      <c r="T15" s="132">
        <v>2.0</v>
      </c>
      <c r="U15" s="132">
        <v>0.0</v>
      </c>
      <c r="V15" s="132">
        <v>0.0</v>
      </c>
      <c r="W15" s="132">
        <v>0.0</v>
      </c>
      <c r="X15" s="132">
        <v>5.0</v>
      </c>
      <c r="Y15" s="132">
        <v>2.0</v>
      </c>
      <c r="Z15" s="132">
        <v>10.0</v>
      </c>
      <c r="AA15" s="132">
        <v>8.0</v>
      </c>
      <c r="AB15" s="132">
        <v>10.0</v>
      </c>
      <c r="AC15" s="132">
        <v>10.0</v>
      </c>
      <c r="AD15" s="132">
        <v>10.0</v>
      </c>
      <c r="AE15" s="132">
        <v>10.0</v>
      </c>
      <c r="AF15" s="132" t="s">
        <v>202</v>
      </c>
      <c r="AG15" s="132" t="s">
        <v>202</v>
      </c>
      <c r="AH15" s="132">
        <v>1.0</v>
      </c>
      <c r="AI15" s="132">
        <v>7.0</v>
      </c>
      <c r="AJ15" s="132">
        <v>0.0</v>
      </c>
      <c r="AK15" s="132">
        <v>10.0</v>
      </c>
      <c r="AL15" s="132">
        <v>10.0</v>
      </c>
      <c r="AM15" s="132">
        <v>3.0</v>
      </c>
      <c r="AN15" s="132" t="s">
        <v>202</v>
      </c>
      <c r="AO15" s="132">
        <v>0.0</v>
      </c>
      <c r="AP15" s="132">
        <v>10.0</v>
      </c>
      <c r="AQ15" s="132">
        <v>10.0</v>
      </c>
      <c r="AR15" s="132">
        <v>8.0</v>
      </c>
      <c r="AS15" s="132">
        <v>4.0</v>
      </c>
      <c r="AT15" s="132">
        <v>0.0</v>
      </c>
      <c r="AU15" s="132">
        <v>0.0</v>
      </c>
      <c r="AV15" s="132">
        <v>0.0</v>
      </c>
      <c r="AW15" s="132">
        <v>0.0</v>
      </c>
      <c r="AX15" s="132">
        <v>10.0</v>
      </c>
      <c r="AY15" s="132">
        <v>10.0</v>
      </c>
      <c r="AZ15" s="132">
        <v>7.0</v>
      </c>
      <c r="BA15" s="132">
        <v>5.0</v>
      </c>
      <c r="BB15" s="132">
        <v>10.0</v>
      </c>
      <c r="BC15" s="132">
        <v>10.0</v>
      </c>
      <c r="BD15" s="132">
        <v>10.0</v>
      </c>
      <c r="BE15" s="132">
        <v>10.0</v>
      </c>
      <c r="BF15" s="132">
        <v>10.0</v>
      </c>
      <c r="BG15" s="132">
        <v>10.0</v>
      </c>
      <c r="BH15" s="132">
        <v>10.0</v>
      </c>
      <c r="BI15" s="132">
        <v>10.0</v>
      </c>
      <c r="BJ15" s="132">
        <v>5.0</v>
      </c>
      <c r="BK15" s="132">
        <v>7.0</v>
      </c>
      <c r="BL15" s="132">
        <v>10.0</v>
      </c>
      <c r="BM15" s="132">
        <v>10.0</v>
      </c>
      <c r="BN15" s="132">
        <v>10.0</v>
      </c>
      <c r="BO15" s="132">
        <v>10.0</v>
      </c>
      <c r="BP15" s="132">
        <v>8.0</v>
      </c>
      <c r="BQ15" s="132">
        <v>10.0</v>
      </c>
      <c r="BR15" s="132">
        <v>10.0</v>
      </c>
      <c r="BS15" s="132">
        <v>5.0</v>
      </c>
      <c r="BT15" s="132">
        <v>5.0</v>
      </c>
      <c r="BU15" s="132">
        <v>8.0</v>
      </c>
      <c r="BV15" s="132">
        <v>0.0</v>
      </c>
      <c r="BW15" s="132">
        <v>0.0</v>
      </c>
      <c r="BX15" s="132">
        <v>3.0</v>
      </c>
      <c r="BY15" s="132">
        <v>0.0</v>
      </c>
      <c r="BZ15" s="132">
        <v>3.0</v>
      </c>
      <c r="CA15" s="132">
        <v>0.0</v>
      </c>
      <c r="CB15" s="132">
        <v>0.0</v>
      </c>
      <c r="CC15" s="132">
        <v>5.0</v>
      </c>
      <c r="CD15" s="132">
        <v>0.0</v>
      </c>
      <c r="CE15" s="132">
        <v>8.0</v>
      </c>
      <c r="CF15" s="132">
        <v>0.0</v>
      </c>
      <c r="CG15" s="132">
        <v>0.0</v>
      </c>
      <c r="CH15" s="132">
        <v>0.0</v>
      </c>
      <c r="CI15" s="132">
        <v>0.0</v>
      </c>
      <c r="CJ15" s="132">
        <v>0.0</v>
      </c>
      <c r="CK15" s="132">
        <v>0.0</v>
      </c>
      <c r="CL15" s="132">
        <v>0.0</v>
      </c>
      <c r="CM15" s="132">
        <v>8.0</v>
      </c>
      <c r="CN15" s="132">
        <v>8.0</v>
      </c>
      <c r="CO15" s="132">
        <v>4.0</v>
      </c>
      <c r="CP15" s="132">
        <v>0.0</v>
      </c>
      <c r="CQ15" s="132">
        <v>0.0</v>
      </c>
      <c r="CR15" s="132">
        <v>0.0</v>
      </c>
      <c r="CS15" s="132">
        <v>0.0</v>
      </c>
      <c r="CT15" s="132">
        <v>0.0</v>
      </c>
      <c r="CU15" s="132">
        <v>0.0</v>
      </c>
      <c r="CV15" s="132">
        <v>0.0</v>
      </c>
      <c r="CW15" s="132">
        <v>0.0</v>
      </c>
      <c r="CX15" s="132" t="s">
        <v>364</v>
      </c>
      <c r="CY15" s="138"/>
      <c r="CZ15" s="126">
        <f t="shared" si="2"/>
        <v>42</v>
      </c>
      <c r="DA15" s="127">
        <f t="shared" si="3"/>
        <v>65</v>
      </c>
      <c r="DB15" s="127">
        <f t="shared" si="4"/>
        <v>31</v>
      </c>
      <c r="DC15" s="127">
        <f t="shared" si="5"/>
        <v>52</v>
      </c>
      <c r="DD15" s="127">
        <f t="shared" si="6"/>
        <v>92</v>
      </c>
      <c r="DE15" s="127">
        <f t="shared" si="7"/>
        <v>85</v>
      </c>
      <c r="DF15" s="127">
        <f t="shared" si="8"/>
        <v>24</v>
      </c>
      <c r="DG15" s="127">
        <f t="shared" si="9"/>
        <v>16</v>
      </c>
      <c r="DH15" s="127">
        <f t="shared" si="10"/>
        <v>12</v>
      </c>
      <c r="DI15" s="138"/>
    </row>
    <row r="16" ht="22.5" customHeight="1">
      <c r="A16" s="104" t="str">
        <f t="shared" si="1"/>
        <v>Joelma Ferreira |Duque</v>
      </c>
      <c r="B16" s="148">
        <v>46255.932618923616</v>
      </c>
      <c r="C16" s="149" t="s">
        <v>365</v>
      </c>
      <c r="D16" s="149" t="s">
        <v>366</v>
      </c>
      <c r="E16" s="149">
        <v>2.1993546535E10</v>
      </c>
      <c r="F16" s="149" t="s">
        <v>339</v>
      </c>
      <c r="G16" s="149" t="s">
        <v>367</v>
      </c>
      <c r="H16" s="149" t="s">
        <v>368</v>
      </c>
      <c r="I16" s="149" t="s">
        <v>369</v>
      </c>
      <c r="J16" s="132" t="s">
        <v>219</v>
      </c>
      <c r="K16" s="149" t="s">
        <v>370</v>
      </c>
      <c r="L16" s="149">
        <v>8.0</v>
      </c>
      <c r="M16" s="149">
        <v>8.0</v>
      </c>
      <c r="N16" s="149">
        <v>3.0</v>
      </c>
      <c r="O16" s="149">
        <v>5.0</v>
      </c>
      <c r="P16" s="149">
        <v>7.0</v>
      </c>
      <c r="Q16" s="149" t="s">
        <v>202</v>
      </c>
      <c r="R16" s="149">
        <v>7.0</v>
      </c>
      <c r="S16" s="149">
        <v>7.0</v>
      </c>
      <c r="T16" s="149">
        <v>4.0</v>
      </c>
      <c r="U16" s="149">
        <v>0.0</v>
      </c>
      <c r="V16" s="149">
        <v>0.0</v>
      </c>
      <c r="W16" s="149">
        <v>7.0</v>
      </c>
      <c r="X16" s="149">
        <v>9.0</v>
      </c>
      <c r="Y16" s="149">
        <v>3.0</v>
      </c>
      <c r="Z16" s="149">
        <v>6.0</v>
      </c>
      <c r="AA16" s="149">
        <v>8.0</v>
      </c>
      <c r="AB16" s="149">
        <v>10.0</v>
      </c>
      <c r="AC16" s="149">
        <v>5.0</v>
      </c>
      <c r="AD16" s="149">
        <v>8.0</v>
      </c>
      <c r="AE16" s="149">
        <v>10.0</v>
      </c>
      <c r="AF16" s="149" t="s">
        <v>202</v>
      </c>
      <c r="AG16" s="149" t="s">
        <v>202</v>
      </c>
      <c r="AH16" s="149">
        <v>7.0</v>
      </c>
      <c r="AI16" s="149">
        <v>8.0</v>
      </c>
      <c r="AJ16" s="149">
        <v>6.0</v>
      </c>
      <c r="AK16" s="149">
        <v>6.0</v>
      </c>
      <c r="AL16" s="149">
        <v>6.0</v>
      </c>
      <c r="AM16" s="149">
        <v>5.0</v>
      </c>
      <c r="AN16" s="149" t="s">
        <v>202</v>
      </c>
      <c r="AO16" s="149">
        <v>6.0</v>
      </c>
      <c r="AP16" s="149">
        <v>7.0</v>
      </c>
      <c r="AQ16" s="149">
        <v>6.0</v>
      </c>
      <c r="AR16" s="149">
        <v>9.0</v>
      </c>
      <c r="AS16" s="149">
        <v>8.0</v>
      </c>
      <c r="AT16" s="149">
        <v>6.0</v>
      </c>
      <c r="AU16" s="149">
        <v>5.0</v>
      </c>
      <c r="AV16" s="149">
        <v>4.0</v>
      </c>
      <c r="AW16" s="149">
        <v>0.0</v>
      </c>
      <c r="AX16" s="149">
        <v>4.0</v>
      </c>
      <c r="AY16" s="149">
        <v>7.0</v>
      </c>
      <c r="AZ16" s="149">
        <v>2.0</v>
      </c>
      <c r="BA16" s="149">
        <v>8.0</v>
      </c>
      <c r="BB16" s="149">
        <v>8.0</v>
      </c>
      <c r="BC16" s="149">
        <v>8.0</v>
      </c>
      <c r="BD16" s="149">
        <v>8.0</v>
      </c>
      <c r="BE16" s="149">
        <v>5.0</v>
      </c>
      <c r="BF16" s="149">
        <v>2.0</v>
      </c>
      <c r="BG16" s="149">
        <v>4.0</v>
      </c>
      <c r="BH16" s="149">
        <v>3.0</v>
      </c>
      <c r="BI16" s="149">
        <v>3.0</v>
      </c>
      <c r="BJ16" s="149">
        <v>5.0</v>
      </c>
      <c r="BK16" s="149">
        <v>5.0</v>
      </c>
      <c r="BL16" s="149">
        <v>5.0</v>
      </c>
      <c r="BM16" s="149">
        <v>7.0</v>
      </c>
      <c r="BN16" s="149">
        <v>8.0</v>
      </c>
      <c r="BO16" s="149">
        <v>10.0</v>
      </c>
      <c r="BP16" s="149">
        <v>8.0</v>
      </c>
      <c r="BQ16" s="149">
        <v>3.0</v>
      </c>
      <c r="BR16" s="149">
        <v>4.0</v>
      </c>
      <c r="BS16" s="149">
        <v>7.0</v>
      </c>
      <c r="BT16" s="149">
        <v>7.0</v>
      </c>
      <c r="BU16" s="149">
        <v>4.0</v>
      </c>
      <c r="BV16" s="149">
        <v>5.0</v>
      </c>
      <c r="BW16" s="149">
        <v>7.0</v>
      </c>
      <c r="BX16" s="149">
        <v>4.0</v>
      </c>
      <c r="BY16" s="149">
        <v>0.0</v>
      </c>
      <c r="BZ16" s="149">
        <v>8.0</v>
      </c>
      <c r="CA16" s="149">
        <v>4.0</v>
      </c>
      <c r="CB16" s="149">
        <v>6.0</v>
      </c>
      <c r="CC16" s="149">
        <v>2.0</v>
      </c>
      <c r="CD16" s="149">
        <v>1.0</v>
      </c>
      <c r="CE16" s="149">
        <v>4.0</v>
      </c>
      <c r="CF16" s="149">
        <v>5.0</v>
      </c>
      <c r="CG16" s="149">
        <v>4.0</v>
      </c>
      <c r="CH16" s="149">
        <v>3.0</v>
      </c>
      <c r="CI16" s="149">
        <v>0.0</v>
      </c>
      <c r="CJ16" s="149">
        <v>8.0</v>
      </c>
      <c r="CK16" s="149">
        <v>4.0</v>
      </c>
      <c r="CL16" s="149">
        <v>6.0</v>
      </c>
      <c r="CM16" s="149">
        <v>5.0</v>
      </c>
      <c r="CN16" s="149">
        <v>3.0</v>
      </c>
      <c r="CO16" s="149">
        <v>5.0</v>
      </c>
      <c r="CP16" s="149">
        <v>4.0</v>
      </c>
      <c r="CQ16" s="149">
        <v>3.0</v>
      </c>
      <c r="CR16" s="149">
        <v>3.0</v>
      </c>
      <c r="CS16" s="149">
        <v>0.0</v>
      </c>
      <c r="CT16" s="149">
        <v>6.0</v>
      </c>
      <c r="CU16" s="149">
        <v>2.0</v>
      </c>
      <c r="CV16" s="149">
        <v>6.0</v>
      </c>
      <c r="CW16" s="149">
        <v>5.0</v>
      </c>
      <c r="CX16" s="132" t="s">
        <v>371</v>
      </c>
      <c r="CY16" s="138"/>
      <c r="CZ16" s="126">
        <f t="shared" si="2"/>
        <v>49</v>
      </c>
      <c r="DA16" s="127">
        <f t="shared" si="3"/>
        <v>66</v>
      </c>
      <c r="DB16" s="127">
        <f t="shared" si="4"/>
        <v>44</v>
      </c>
      <c r="DC16" s="127">
        <f t="shared" si="5"/>
        <v>56</v>
      </c>
      <c r="DD16" s="127">
        <f t="shared" si="6"/>
        <v>51</v>
      </c>
      <c r="DE16" s="127">
        <f t="shared" si="7"/>
        <v>62</v>
      </c>
      <c r="DF16" s="127">
        <f t="shared" si="8"/>
        <v>47</v>
      </c>
      <c r="DG16" s="127">
        <f t="shared" si="9"/>
        <v>40</v>
      </c>
      <c r="DH16" s="127">
        <f t="shared" si="10"/>
        <v>37</v>
      </c>
      <c r="DI16" s="138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38"/>
    <col customWidth="1" min="2" max="2" width="17.88"/>
    <col customWidth="1" min="4" max="4" width="12.88"/>
    <col customWidth="1" min="5" max="5" width="13.38"/>
    <col customWidth="1" min="6" max="6" width="19.88"/>
    <col customWidth="1" min="7" max="7" width="14.88"/>
    <col customWidth="1" min="8" max="8" width="15.13"/>
    <col customWidth="1" min="9" max="9" width="14.0"/>
    <col customWidth="1" min="10" max="10" width="13.5"/>
    <col customWidth="1" min="11" max="11" width="19.63"/>
    <col customWidth="1" min="12" max="12" width="3.13"/>
  </cols>
  <sheetData>
    <row r="1">
      <c r="A1" s="69"/>
      <c r="B1" s="71"/>
      <c r="C1" s="71"/>
      <c r="D1" s="71"/>
      <c r="E1" s="71"/>
      <c r="F1" s="71"/>
      <c r="G1" s="71"/>
      <c r="H1" s="71"/>
      <c r="I1" s="72"/>
      <c r="J1" s="72"/>
      <c r="K1" s="72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 ht="27.75" customHeight="1">
      <c r="A2" s="69"/>
      <c r="B2" s="74" t="s">
        <v>113</v>
      </c>
      <c r="C2" s="80" t="s">
        <v>134</v>
      </c>
      <c r="D2" s="10"/>
      <c r="E2" s="71"/>
      <c r="F2" s="81" t="s">
        <v>140</v>
      </c>
      <c r="G2" s="63"/>
      <c r="H2" s="63"/>
      <c r="I2" s="63"/>
      <c r="J2" s="63"/>
      <c r="K2" s="10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</row>
    <row r="3">
      <c r="A3" s="69"/>
      <c r="B3" s="71"/>
      <c r="C3" s="71"/>
      <c r="D3" s="71"/>
      <c r="E3" s="71"/>
      <c r="F3" s="71"/>
      <c r="G3" s="71"/>
      <c r="H3" s="71"/>
      <c r="I3" s="72"/>
      <c r="J3" s="72"/>
      <c r="K3" s="72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</row>
    <row r="4">
      <c r="A4" s="69"/>
      <c r="B4" s="71"/>
      <c r="C4" s="71"/>
      <c r="D4" s="71"/>
      <c r="E4" s="71"/>
      <c r="F4" s="71"/>
      <c r="G4" s="71"/>
      <c r="H4" s="71"/>
      <c r="I4" s="72"/>
      <c r="J4" s="72"/>
      <c r="K4" s="72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</row>
    <row r="5" ht="28.5" customHeight="1">
      <c r="A5" s="65"/>
      <c r="B5" s="83" t="s">
        <v>149</v>
      </c>
      <c r="E5" s="83" t="str">
        <f>VLOOKUP($C$2,'1) Respostas ao formulário'!$A:$DH,'1) Respostas ao formulário'!$G$1,FALSE)</f>
        <v>Duque</v>
      </c>
      <c r="F5" s="85" t="str">
        <f>VLOOKUP($C$2,'1) Respostas ao formulário'!$A:$DH,'1) Respostas ao formulário'!$H$1,FALSE)</f>
        <v>Vira lata </v>
      </c>
      <c r="G5" s="85" t="str">
        <f>VLOOKUP($C$2,'1) Respostas ao formulário'!$A:$DH,'1) Respostas ao formulário'!$I$1,FALSE)</f>
        <v>9 anos</v>
      </c>
      <c r="H5" s="83" t="str">
        <f>VLOOKUP($C$2,'1) Respostas ao formulário'!$A:$DH,'1) Respostas ao formulário'!$J$1,FALSE)</f>
        <v>Não Castrado</v>
      </c>
      <c r="I5" s="86" t="s">
        <v>10</v>
      </c>
      <c r="J5" s="86" t="str">
        <f>VLOOKUP($C$2,'1) Respostas ao formulário'!$A:$DH,'1) Respostas ao formulário'!$C$1,FALSE)</f>
        <v>Joelma Ferreira 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</row>
    <row r="6">
      <c r="A6" s="1"/>
      <c r="B6" s="72"/>
      <c r="C6" s="90"/>
      <c r="D6" s="92"/>
      <c r="E6" s="90"/>
      <c r="F6" s="92"/>
      <c r="G6" s="92"/>
      <c r="H6" s="92"/>
      <c r="I6" s="92"/>
      <c r="J6" s="92"/>
      <c r="K6" s="9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29.25" customHeight="1">
      <c r="A7" s="65"/>
      <c r="B7" s="98" t="s">
        <v>184</v>
      </c>
      <c r="C7" s="101" t="s">
        <v>173</v>
      </c>
      <c r="D7" s="102" t="s">
        <v>174</v>
      </c>
      <c r="E7" s="101" t="s">
        <v>175</v>
      </c>
      <c r="F7" s="102" t="s">
        <v>177</v>
      </c>
      <c r="G7" s="103" t="s">
        <v>178</v>
      </c>
      <c r="H7" s="102" t="s">
        <v>181</v>
      </c>
      <c r="I7" s="103" t="s">
        <v>183</v>
      </c>
      <c r="J7" s="102" t="s">
        <v>185</v>
      </c>
      <c r="K7" s="103" t="s">
        <v>186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</row>
    <row r="8" ht="33.0" customHeight="1">
      <c r="A8" s="65"/>
      <c r="B8" s="98" t="s">
        <v>188</v>
      </c>
      <c r="C8" s="107">
        <f>VLOOKUP($C$2,'1) Respostas ao formulário'!$A:$DH,'1) Respostas ao formulário'!CZ1,FALSE)</f>
        <v>49</v>
      </c>
      <c r="D8" s="107">
        <f>VLOOKUP($C$2,'1) Respostas ao formulário'!$A:$DH,'1) Respostas ao formulário'!DA1,FALSE)</f>
        <v>66</v>
      </c>
      <c r="E8" s="107">
        <f>VLOOKUP($C$2,'1) Respostas ao formulário'!$A:$DH,'1) Respostas ao formulário'!DB1,FALSE)</f>
        <v>44</v>
      </c>
      <c r="F8" s="107">
        <f>VLOOKUP($C$2,'1) Respostas ao formulário'!$A:$DH,'1) Respostas ao formulário'!DC1,FALSE)</f>
        <v>56</v>
      </c>
      <c r="G8" s="107">
        <f>VLOOKUP($C$2,'1) Respostas ao formulário'!$A:$DH,'1) Respostas ao formulário'!DD1,FALSE)</f>
        <v>51</v>
      </c>
      <c r="H8" s="107">
        <f>VLOOKUP($C$2,'1) Respostas ao formulário'!$A:$DH,'1) Respostas ao formulário'!DE1,FALSE)</f>
        <v>62</v>
      </c>
      <c r="I8" s="107">
        <f>VLOOKUP($C$2,'1) Respostas ao formulário'!$A:$DH,'1) Respostas ao formulário'!DF1,FALSE)</f>
        <v>47</v>
      </c>
      <c r="J8" s="107">
        <f>VLOOKUP($C$2,'1) Respostas ao formulário'!$A:$DH,'1) Respostas ao formulário'!DG1,FALSE)</f>
        <v>40</v>
      </c>
      <c r="K8" s="107">
        <f>VLOOKUP($C$2,'1) Respostas ao formulário'!$A:$DH,'1) Respostas ao formulário'!DH1,FALSE)</f>
        <v>37</v>
      </c>
      <c r="L8" s="109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</row>
    <row r="9" ht="33.75" customHeight="1">
      <c r="A9" s="65"/>
      <c r="B9" s="98" t="s">
        <v>206</v>
      </c>
      <c r="C9" s="115" t="str">
        <f t="shared" ref="C9:K9" si="1">IF(C8="","",IF(OR(C8&lt;0,C8&gt;100),"Pontuação inválida",IF(C8&lt;=20,"Muito baixo",IF(C8&lt;=40,"Baixo",IF(C8&lt;=60,"Moderado",IF(C8&lt;=80,"Alto","Muito alto"))))))</f>
        <v>Moderado</v>
      </c>
      <c r="D9" s="115" t="str">
        <f t="shared" si="1"/>
        <v>Alto</v>
      </c>
      <c r="E9" s="115" t="str">
        <f t="shared" si="1"/>
        <v>Moderado</v>
      </c>
      <c r="F9" s="115" t="str">
        <f t="shared" si="1"/>
        <v>Moderado</v>
      </c>
      <c r="G9" s="115" t="str">
        <f t="shared" si="1"/>
        <v>Moderado</v>
      </c>
      <c r="H9" s="115" t="str">
        <f t="shared" si="1"/>
        <v>Alto</v>
      </c>
      <c r="I9" s="115" t="str">
        <f t="shared" si="1"/>
        <v>Moderado</v>
      </c>
      <c r="J9" s="115" t="str">
        <f t="shared" si="1"/>
        <v>Baixo</v>
      </c>
      <c r="K9" s="115" t="str">
        <f t="shared" si="1"/>
        <v>Baixo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16" t="s">
        <v>209</v>
      </c>
      <c r="C11" s="63"/>
      <c r="D11" s="63"/>
      <c r="E11" s="63"/>
      <c r="F11" s="10"/>
      <c r="G11" s="1"/>
      <c r="H11" s="117" t="s">
        <v>210</v>
      </c>
      <c r="I11" s="63"/>
      <c r="J11" s="63"/>
      <c r="K11" s="10"/>
      <c r="L11" s="11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19"/>
      <c r="C12" s="120"/>
      <c r="D12" s="120"/>
      <c r="E12" s="120"/>
      <c r="F12" s="121"/>
      <c r="G12" s="1"/>
      <c r="H12" s="122" t="str">
        <f>IF(MAX(G8+H8,J8+K8,C8+E8,F8+I8,D8*2)=J8+K8,"Perfil inseguro e sensível",IF(MAX(G8+H8,J8+K8,C8+E8,F8+I8,D8*2)=G8+H8,"Perfil lúdico e social",IF(MAX(G8+H8,J8+K8,C8+E8,F8+I8,D8*2)=F8+I8,"Perfil territorial e confrontador",IF(MAX(G8+H8,J8+K8,C8+E8,F8+I8,D8*2)=C8+E8,"Perfil predatório e perseguidor","Perfil controlador de movimento"))))</f>
        <v>Perfil controlador de movimento</v>
      </c>
      <c r="I12" s="7"/>
      <c r="J12" s="7"/>
      <c r="K12" s="9"/>
      <c r="L12" s="12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24" t="s">
        <v>212</v>
      </c>
      <c r="D13" s="125" t="str">
        <f t="array" ref="D13">IF(COUNT(C8:K8)&lt;9,"",INDEX(C7:K7,1,MATCH(MAX(C8:K8),C8:K8,0)))</f>
        <v>PASTOREIO</v>
      </c>
      <c r="F13" s="34"/>
      <c r="G13" s="1"/>
      <c r="H13" s="11"/>
      <c r="I13" s="13"/>
      <c r="J13" s="13"/>
      <c r="K13" s="15"/>
      <c r="L13" s="12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28"/>
      <c r="C14" s="129"/>
      <c r="D14" s="129"/>
      <c r="E14" s="129"/>
      <c r="F14" s="130"/>
      <c r="G14" s="1"/>
      <c r="H14" s="1"/>
      <c r="I14" s="1"/>
      <c r="J14" s="1"/>
      <c r="K14" s="1"/>
      <c r="L14" s="12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19" t="str">
        <f>IF(H12="","",
"Este cão apresenta como perfil predominante "&amp;LOWER(H12)&amp;
IF(OR(H16="",H16=H12),".",
", acompanhado de características secundárias relacionadas ao perfil "&amp;LOWER(H16)&amp;".")
&amp;
IF(D13="","",
" O drive que aparece com maior intensidade é "&amp;LOWER(D13)&amp;", o que ajuda a compreender quais estímulos tendem a despertar maior interesse ou provocar respostas mais intensas no dia a dia."
)
&amp;
CHAR(10)&amp;CHAR(10)&amp;
IF(AND(G8&gt;=61,H8&gt;=61),
"As pontuações elevadas em brincadeira e matilha indicam interesse importante por interação, proximidade social e participação em atividades com pessoas ou outros cães. Na prática, é necessário observar se essas aproximações acontecem de maneira equilibrad"&amp;"a, se o cão respeita pausas e se consegue compreender os sinais de interrupção apresentados pelos demais.",
"")
&amp;
IF(AND(G8&gt;=61,OR(J8&gt;=61,K8&gt;=61)),
CHAR(10)&amp;CHAR(10)&amp;
"Apesar do interesse por brincadeiras ou aproximações, os índices elevados de fuga ou congelamento sugerem que o cão pode se desorganizar quando a interação se torna intensa, imprevisível ou quando não consegue se afastar. Ele pode demonstrar vontade de pa"&amp;"rticipar e, ao mesmo tempo, apresentar desconforto diante de determinadas aproximações.",
"")
&amp;
IF(AND(J8&gt;=61,K8&gt;=61),
CHAR(10)&amp;CHAR(10)&amp;
"A combinação entre fuga e congelamento indica insegurança relevante. Diante de situações desconfortáveis, o cão pode alternar entre tentar se afastar e permanecer imóvel. A ausência de movimento não deve ser interpretada automaticamente como tranquilidade"&amp;", aceitação ou adaptação.",
IF(OR(J8&gt;=61,K8&gt;=61),
CHAR(10)&amp;CHAR(10)&amp;
"Há sinais relevantes de insegurança. Durante a avaliação presencial, será importante observar a possibilidade de afastamento, o tempo necessário para explorar o ambiente e sua capacidade de recuperação emocional após situações desconfortáveis.",
""))
&amp;
IF(I8&gt;=61,
CHAR(10)&amp;CHAR(10)&amp;
"A pontuação elevada em luta sugere maior disposição para enfrentar conflitos, sustentar disputas ou responder de forma impositiva quando frustrado ou pressionado. Isso não determina que o cão será agressivo, mas exige atenção especial à comunicação social"&amp;", à manipulação, à posse de recursos e à possibilidade de escalada de conflitos.",
"")
&amp;
IF(AND(C8&gt;=61,E8&gt;=61),
CHAR(10)&amp;CHAR(10)&amp;
"A combinação elevada entre caça e predação demonstra forte interesse por exploração, perseguição, captura e estímulos em movimento. Durante a avaliação prática, será necessário observar fixação, intensidade da perseguição, capacidade de interrupção e segu"&amp;"rança na convivência com cães menores ou mais vulneráveis.",
IF(C8&gt;=61,
CHAR(10)&amp;CHAR(10)&amp;
"O drive de caça elevado indica forte interesse por cheiros, rastros e exploração do ambiente. Atividades de faro podem ser motivadoras, mas também será importante verificar se o cão consegue interromper a investigação e voltar sua atenção para o condutor.",
""))
&amp;
IF(D8&gt;=61,
CHAR(10)&amp;CHAR(10)&amp;
"A pontuação elevada em pastoreio indica atenção intensa aos movimentos de pessoas, cães ou grupos. Esse comportamento pode aparecer por meio de perseguições, bloqueios de passagem, mordiscadas ou tentativas de controlar a movimentação dos demais.",
"")
&amp;
IF(F8&gt;=61,
CHAR(10)&amp;CHAR(10)&amp;
"O territorialismo elevado sugere maior vigilância e sensibilidade à aproximação de pessoas ou animais em espaços considerados importantes. A avaliação deve incluir a observação em entradas, portões, portas, corredores e momentos de circulação.",
"")
&amp;
IF(AND(I8&lt;=20,E8&lt;=20),
CHAR(10)&amp;CHAR(10)&amp;
"As pontuações muito baixas em luta e predação indicam que confronto direto e comportamentos de captura não aparecem como tendências predominantes nas respostas fornecidas. Ainda assim, esses resultados não eliminam riscos e precisam ser confirmados na ava"&amp;"liação presencial.",
"")
&amp;
CHAR(10)&amp;CHAR(10)&amp;
"Esta análise representa uma hipótese comportamental construída a partir das respostas da anamnese. Ela deve ser comparada com a ficha de avaliação presencial, com o contexto em que os comportamentos aparecem e com a análise técnica do avaliador."
)</f>
        <v>Este cão apresenta como perfil predominante perfil controlador de movimento, acompanhado de características secundárias relacionadas ao perfil tendência secundária a controlar movimentos. O drive que aparece com maior intensidade é pastoreio, o que ajuda a compreender quais estímulos tendem a despertar maior interesse ou provocar respostas mais intensas no dia a dia.
A pontuação elevada em pastoreio indica atenção intensa aos movimentos de pessoas, cães ou grupos. Esse comportamento pode aparecer por meio de perseguições, bloqueios de passagem, mordiscadas ou tentativas de controlar a movimentação dos demais.
Esta análise representa uma hipótese comportamental construída a partir das respostas da anamnese. Ela deve ser comparada com a ficha de avaliação presencial, com o contexto em que os comportamentos aparecem e com a análise técnica do avaliador.</v>
      </c>
      <c r="C15" s="7"/>
      <c r="D15" s="7"/>
      <c r="E15" s="7"/>
      <c r="F15" s="9"/>
      <c r="G15" s="1"/>
      <c r="H15" s="117" t="s">
        <v>222</v>
      </c>
      <c r="I15" s="63"/>
      <c r="J15" s="63"/>
      <c r="K15" s="10"/>
      <c r="L15" s="12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36"/>
      <c r="F16" s="34"/>
      <c r="G16" s="1"/>
      <c r="H16" s="136" t="str">
        <f>IF(AND(J8&gt;=41,K8&gt;=41),"Tendência secundária à insegurança, com possibilidade de fuga ou congelamento",IF(AND(G8&gt;=61,H8&gt;=41),"Tendência secundária lúdica e social",IF(AND(C8&gt;=61,E8&gt;=61),"Tendência secundária predatória",IF(AND(F8&gt;=61,I8&gt;=41),"Tendência secundária territorial ou confrontadora",IF(D8&gt;=61,"Tendência secundária a controlar movimentos","Nenhuma tendência secundária elevada identificada")))))</f>
        <v>Tendência secundária a controlar movimentos</v>
      </c>
      <c r="I16" s="7"/>
      <c r="J16" s="7"/>
      <c r="K16" s="9"/>
      <c r="L16" s="12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36"/>
      <c r="F17" s="34"/>
      <c r="G17" s="1"/>
      <c r="H17" s="36"/>
      <c r="K17" s="3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36"/>
      <c r="F18" s="34"/>
      <c r="G18" s="1"/>
      <c r="H18" s="11"/>
      <c r="I18" s="13"/>
      <c r="J18" s="13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36"/>
      <c r="F19" s="34"/>
      <c r="G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36"/>
      <c r="F20" s="34"/>
      <c r="G20" s="1"/>
      <c r="H20" s="137" t="s">
        <v>224</v>
      </c>
      <c r="I20" s="63"/>
      <c r="J20" s="63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36"/>
      <c r="F21" s="34"/>
      <c r="G21" s="1"/>
      <c r="H21" s="136" t="str">
        <f>IF(H12="","",
IF(H12="LÚDICO E SOCIAL",
"Este cão demonstra forte interesse por brincadeiras, proximidade e interação social. Durante a avaliação, observe a intensidade das interações, o respeito às pausas e a capacidade de perceber os sinais de pessoas e outros cães.",
IF(H12="INSEGURO E EVITATIVO",
"Este cão tende a apresentar insegurança diante de situações novas ou desconfortáveis, podendo tentar se afastar, evitar aproximações ou permanecer imóvel. A avaliação deve respeitar seu tempo e observar sua recuperação emocional.",
IF(H12="TERRITORIAL E VIGILANTE",
"Este cão tende a permanecer atento ao ambiente e pode reagir diante da aproximação de pessoas ou animais aos espaços que considera importantes. Observe principalmente entradas, portas, portões e circulação no ambiente.",
IF(H12="EXPLORATÓRIO E INVESTIGATIVO",
"Este cão demonstra forte interesse por cheiros, rastros e exploração do ambiente. Durante a avaliação, observe sua capacidade de interromper a investigação, responder ao condutor e se adaptar às atividades propostas.",
IF(H12="CONTROLADOR DE MOVIMENTO",
"Este cão tende a acompanhar e tentar controlar a movimentação de pessoas ou animais. Durante a convivência, observe perseguições, bloqueios de passagem, mordiscadas e interferências nas brincadeiras dos outros cães.",
IF(H12="CONFRONTADOR E IMPOSITIVO",
"Este cão pode apresentar maior disposição para enfrentar conflitos, sustentar disputas ou responder de forma impositiva. A avaliação deve priorizar a segurança, a tolerância à frustração e a qualidade da comunicação social.",
IF(H12="PREDATÓRIO",
"Este cão demonstra interesse elevado por perseguição, captura e estímulos em movimento. A avaliação deve observar fixação, intensidade, capacidade de interrupção e segurança na convivência com cães menores ou vulneráveis.",
"O perfil deste cão apresenta características combinadas que precisam ser analisadas junto às respostas da anamnese e ao comportamento observado presencialmente."
)))))))
&amp;
IF(OR(H16="",H16=H12),"",
" Como característica secundária, apresenta um perfil "&amp;LOWER(H16)&amp;", que também deve ser considerado durante a avaliação prática."
))</f>
        <v>O perfil deste cão apresenta características combinadas que precisam ser analisadas junto às respostas da anamnese e ao comportamento observado presencialmente. Como característica secundária, apresenta um perfil tendência secundária a controlar movimentos, que também deve ser considerado durante a avaliação prática.</v>
      </c>
      <c r="I21" s="7"/>
      <c r="J21" s="7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36"/>
      <c r="F22" s="34"/>
      <c r="G22" s="1"/>
      <c r="H22" s="36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36"/>
      <c r="F23" s="34"/>
      <c r="G23" s="1"/>
      <c r="H23" s="36"/>
      <c r="K23" s="3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36"/>
      <c r="F24" s="34"/>
      <c r="G24" s="1"/>
      <c r="H24" s="36"/>
      <c r="K24" s="3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36"/>
      <c r="F25" s="34"/>
      <c r="G25" s="1"/>
      <c r="H25" s="36"/>
      <c r="K25" s="3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36"/>
      <c r="F26" s="34"/>
      <c r="G26" s="1"/>
      <c r="H26" s="36"/>
      <c r="K26" s="34"/>
      <c r="L26" s="6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36"/>
      <c r="F27" s="34"/>
      <c r="G27" s="1"/>
      <c r="H27" s="36"/>
      <c r="K27" s="34"/>
      <c r="L27" s="6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36"/>
      <c r="F28" s="34"/>
      <c r="G28" s="1"/>
      <c r="H28" s="11"/>
      <c r="I28" s="13"/>
      <c r="J28" s="13"/>
      <c r="K28" s="15"/>
      <c r="L28" s="6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36"/>
      <c r="F29" s="34"/>
      <c r="G29" s="1"/>
      <c r="L29" s="6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36"/>
      <c r="F30" s="34"/>
      <c r="G30" s="1"/>
      <c r="H30" s="139" t="s">
        <v>232</v>
      </c>
      <c r="I30" s="13"/>
      <c r="J30" s="13"/>
      <c r="K30" s="15"/>
      <c r="L30" s="6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36"/>
      <c r="F31" s="34"/>
      <c r="G31" s="1"/>
      <c r="H31" s="140" t="str">
        <f>IF(COUNT(C8:K8)&lt;9,"",
IF(I8&gt;=61,
"• Avaliar com cautela a tolerância à frustração, a manipulação, a posse de recursos e a possibilidade de escalada de conflitos."&amp;CHAR(10),
"")
&amp;
IF(AND(J8&gt;=61,K8&gt;=61),
"• Garantir possibilidade de afastamento e não interpretar imobilidade como tranquilidade ou aceitação."&amp;CHAR(10)&amp;
"• Observar o tempo necessário para o cão recuperar o equilíbrio emocional após situações desconfortáveis."&amp;CHAR(10),
IF(J8&gt;=61,
"• Permitir que o cão se afaste quando demonstrar desconforto e observar tentativas de fuga ou esquiva."&amp;CHAR(10),
IF(K8&gt;=61,
"• Não interpretar o congelamento como calma. Observar tensão corporal, imobilidade e dificuldade de responder."&amp;CHAR(10),
"")))
&amp;
IF(AND(G8&gt;=61,OR(J8&gt;=61,K8&gt;=61)),
"• Realizar aproximações e inserções em grupo de forma gradual, pois o interesse por interação pode coexistir com insegurança."&amp;CHAR(10),
"")
&amp;
IF(AND(C8&gt;=61,E8&gt;=61),
"• Avaliar perseguição, fixação em estímulos, intensidade da mordida e capacidade de interromper o comportamento."&amp;CHAR(10)&amp;
"• Ter atenção especial na convivência com cães menores, filhotes ou indivíduos mais vulneráveis."&amp;CHAR(10),
IF(E8&gt;=61,
"• Observar perseguição, captura, fixação em movimento e capacidade de interrupção."&amp;CHAR(10),
IF(C8&gt;=61,
"• Observar se o cão consegue interromper a exploração e redirecionar a atenção para o condutor."&amp;CHAR(10),
"")))
&amp;
IF(D8&gt;=61,
"• Monitorar perseguições, bloqueios de passagem, mordiscadas e tentativas de controlar a movimentação de pessoas ou cães."&amp;CHAR(10),
"")
&amp;
IF(F8&gt;=61,
"• Avaliar o comportamento em portas, portões, corredores, entradas e durante a aproximação de pessoas ou cães."&amp;CHAR(10),
"")
&amp;
IF(G8&gt;=61,
"• Observar a intensidade das brincadeiras, o respeito às pausas e a resposta aos sinais de interrupção dos outros cães."&amp;CHAR(10),
"")
&amp;
IF(H8&gt;=61,
"• Avaliar a autonomia do cão e sua reação quando precisa permanecer separado de pessoas ou do grupo."&amp;CHAR(10),
"")
&amp;
IF(AND(I8&lt;61,J8&lt;61,K8&lt;61,C8&lt;61,D8&lt;61,E8&lt;61,F8&lt;61,G8&lt;61,H8&lt;61),
"• Nenhum ponto crítico se destacou exclusivamente pelas respostas da anamnese. Confirmar o perfil durante a avaliação presencial.",
"")
)</f>
        <v>• Monitorar perseguições, bloqueios de passagem, mordiscadas e tentativas de controlar a movimentação de pessoas ou cães.
• Avaliar a autonomia do cão e sua reação quando precisa permanecer separado de pessoas ou do grupo.
</v>
      </c>
      <c r="I31" s="7"/>
      <c r="J31" s="7"/>
      <c r="K31" s="9"/>
      <c r="L31" s="6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36"/>
      <c r="F32" s="34"/>
      <c r="G32" s="1"/>
      <c r="H32" s="36"/>
      <c r="K32" s="34"/>
      <c r="L32" s="6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36"/>
      <c r="F33" s="34"/>
      <c r="G33" s="1"/>
      <c r="H33" s="36"/>
      <c r="K33" s="34"/>
      <c r="L33" s="6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36"/>
      <c r="F34" s="34"/>
      <c r="G34" s="1"/>
      <c r="H34" s="36"/>
      <c r="K34" s="34"/>
      <c r="L34" s="6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36"/>
      <c r="F35" s="34"/>
      <c r="G35" s="1"/>
      <c r="H35" s="36"/>
      <c r="K35" s="34"/>
      <c r="L35" s="6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36"/>
      <c r="F36" s="34"/>
      <c r="G36" s="1"/>
      <c r="H36" s="36"/>
      <c r="K36" s="34"/>
      <c r="L36" s="6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36"/>
      <c r="F37" s="34"/>
      <c r="G37" s="1"/>
      <c r="H37" s="36"/>
      <c r="K37" s="34"/>
      <c r="L37" s="6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36"/>
      <c r="F38" s="34"/>
      <c r="G38" s="1"/>
      <c r="H38" s="36"/>
      <c r="K38" s="3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36"/>
      <c r="F39" s="34"/>
      <c r="G39" s="1"/>
      <c r="H39" s="11"/>
      <c r="I39" s="13"/>
      <c r="J39" s="13"/>
      <c r="K39" s="1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36"/>
      <c r="F40" s="3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36"/>
      <c r="F41" s="3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36"/>
      <c r="F42" s="34"/>
      <c r="G42" s="1"/>
      <c r="H42" s="141" t="s">
        <v>233</v>
      </c>
      <c r="I42" s="7"/>
      <c r="J42" s="7"/>
      <c r="K42" s="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36"/>
      <c r="F43" s="34"/>
      <c r="G43" s="1"/>
      <c r="H43" s="36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1"/>
      <c r="C44" s="13"/>
      <c r="D44" s="13"/>
      <c r="E44" s="13"/>
      <c r="F44" s="15"/>
      <c r="G44" s="1"/>
      <c r="H44" s="11"/>
      <c r="I44" s="13"/>
      <c r="J44" s="13"/>
      <c r="K44" s="1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</sheetData>
  <mergeCells count="17">
    <mergeCell ref="B13:C13"/>
    <mergeCell ref="D13:F13"/>
    <mergeCell ref="B15:F44"/>
    <mergeCell ref="H15:K15"/>
    <mergeCell ref="H16:K18"/>
    <mergeCell ref="H20:K20"/>
    <mergeCell ref="H21:K28"/>
    <mergeCell ref="H30:K30"/>
    <mergeCell ref="H31:K39"/>
    <mergeCell ref="H42:K44"/>
    <mergeCell ref="C2:D2"/>
    <mergeCell ref="F2:K2"/>
    <mergeCell ref="B5:D5"/>
    <mergeCell ref="J5:K5"/>
    <mergeCell ref="B11:F11"/>
    <mergeCell ref="H11:K11"/>
    <mergeCell ref="H12:K13"/>
  </mergeCells>
  <dataValidations>
    <dataValidation type="list" allowBlank="1" showErrorMessage="1" sqref="C2">
      <formula1>'1) Respostas ao formulário'!$A$3:$A$916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9.0" ySplit="7.0" topLeftCell="J8" activePane="bottomRight" state="frozen"/>
      <selection activeCell="J1" sqref="J1" pane="topRight"/>
      <selection activeCell="A8" sqref="A8" pane="bottomLeft"/>
      <selection activeCell="J8" sqref="J8" pane="bottomRight"/>
    </sheetView>
  </sheetViews>
  <sheetFormatPr customHeight="1" defaultColWidth="12.63" defaultRowHeight="15.75"/>
  <cols>
    <col customWidth="1" min="1" max="1" width="2.25"/>
    <col customWidth="1" min="2" max="2" width="58.38"/>
    <col customWidth="1" min="3" max="3" width="17.38"/>
    <col customWidth="1" min="4" max="4" width="2.38"/>
    <col customWidth="1" min="5" max="6" width="12.88"/>
    <col customWidth="1" min="7" max="7" width="17.88"/>
    <col customWidth="1" min="8" max="8" width="2.5"/>
    <col customWidth="1" min="9" max="9" width="1.38"/>
    <col customWidth="1" min="10" max="10" width="1.75"/>
    <col customWidth="1" min="11" max="11" width="60.0"/>
    <col customWidth="1" min="12" max="27" width="12.88"/>
  </cols>
  <sheetData>
    <row r="1">
      <c r="A1" s="3"/>
      <c r="B1" s="3"/>
      <c r="C1" s="4"/>
      <c r="D1" s="3"/>
      <c r="E1" s="3"/>
      <c r="F1" s="3"/>
      <c r="G1" s="3"/>
      <c r="H1" s="3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8" t="s">
        <v>1</v>
      </c>
      <c r="C2" s="10"/>
      <c r="D2" s="3"/>
      <c r="E2" s="12" t="s">
        <v>2</v>
      </c>
      <c r="F2" s="7"/>
      <c r="G2" s="9"/>
      <c r="H2" s="3"/>
      <c r="I2" s="14"/>
      <c r="J2" s="14"/>
      <c r="K2" s="16" t="s">
        <v>3</v>
      </c>
      <c r="L2" s="1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18" t="s">
        <v>4</v>
      </c>
      <c r="C3" s="19"/>
      <c r="D3" s="3"/>
      <c r="E3" s="26" t="str">
        <f>IF(COUNT(C10,C11,C12,C13,C14,C17,C18,C19,C20,C21,C24,C25,C26,C27,C30,C31,C32,C33,C34,C37,C38,C39,C40,C41,C42,C43)&lt;26,"",REPT("★",ROUND(AVERAGE(C10,C11,C12,C13,C14,C17,C18,C19,C20,C21,C24,C25,C26,C27,C30,C31,C32,C33,C34,C37,C38,C39,C40,C41,C42,C43),0))&amp;REPT("☆",5-ROUND(AVERAGE(C10,C11,C12,C13,C14,C17,C18,C19,C20,C21,C24,C25,C26,C27,C30,C31,C32,C33,C34,C37,C38,C39,C40,C41,C42,C43),0)))</f>
        <v/>
      </c>
      <c r="F3" s="3"/>
      <c r="G3" s="28"/>
      <c r="H3" s="3"/>
      <c r="I3" s="29"/>
      <c r="J3" s="29"/>
      <c r="K3" s="31" t="s">
        <v>9</v>
      </c>
      <c r="L3" s="32">
        <v>1.0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18" t="s">
        <v>10</v>
      </c>
      <c r="C4" s="19"/>
      <c r="D4" s="3"/>
      <c r="E4" s="41" t="str">
        <f>IF(COUNT(C10,C11,C12,C13,C14,C17,C18,C19,C20,C21,C24,C25,C26,C27,C30,C31,C32,C33,C34,C37,C38,C39,C40,C41,C42,C43)&lt;26,"",REPT("★",ROUND(AVERAGE(C10,C11,C12,C13,C14,C17,C18,C19,C20,C21,C24,C25,C26,C27,C30,C31,C32,C33,C34,C37,C38,C39,C40,C41,C42,C43),0))&amp;REPT("☆",5-ROUND(AVERAGE(C10,C11,C12,C13,C14,C17,C18,C19,C20,C21,C24,C25,C26,C27,C30,C31,C32,C33,C34,C37,C38,C39,C40,C41,C42,C43),0)))</f>
        <v/>
      </c>
      <c r="G4" s="34"/>
      <c r="H4" s="3"/>
      <c r="I4" s="29"/>
      <c r="J4" s="29"/>
      <c r="K4" s="31" t="s">
        <v>29</v>
      </c>
      <c r="L4" s="32">
        <v>2.0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18" t="s">
        <v>32</v>
      </c>
      <c r="C5" s="42"/>
      <c r="D5" s="3"/>
      <c r="E5" s="41" t="str">
        <f>IF(OR(COUNT(C17:C21)&lt;5,C30="",C31="",COUNT(C37:C43)&lt;7,E3=""),"",
IF(OR(AVERAGE(C17:C21)&lt;2,C30&lt;=2,C31&lt;=2),
"🔴 REPROVAÇÃO RECOMENDADA",
IF(OR(AVERAGE(C37:C43)&lt;2,E3&lt;3),
"🟠 NOVA AVALIAÇÃO RECOMENDADA",
IF(OR(AVERAGE(C17:C21)&lt;3,AVERAGE(C37:C43)&lt;3,E3&lt;4),
"🟡 APROVADO COM RESTRIÇÕES",
"🟢 APROVADO")))
)</f>
        <v/>
      </c>
      <c r="G5" s="34"/>
      <c r="H5" s="3"/>
      <c r="I5" s="29"/>
      <c r="J5" s="29"/>
      <c r="K5" s="31" t="s">
        <v>56</v>
      </c>
      <c r="L5" s="32">
        <v>3.0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18" t="s">
        <v>53</v>
      </c>
      <c r="C6" s="19"/>
      <c r="D6" s="3"/>
      <c r="E6" s="36"/>
      <c r="G6" s="34"/>
      <c r="H6" s="3"/>
      <c r="I6" s="29"/>
      <c r="J6" s="29"/>
      <c r="K6" s="31" t="s">
        <v>60</v>
      </c>
      <c r="L6" s="32">
        <v>4.0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18" t="s">
        <v>62</v>
      </c>
      <c r="C7" s="19"/>
      <c r="D7" s="3"/>
      <c r="E7" s="11"/>
      <c r="F7" s="13"/>
      <c r="G7" s="15"/>
      <c r="H7" s="3"/>
      <c r="I7" s="52"/>
      <c r="J7" s="52"/>
      <c r="K7" s="54" t="s">
        <v>67</v>
      </c>
      <c r="L7" s="56">
        <v>5.0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7"/>
      <c r="C8" s="59"/>
      <c r="D8" s="3"/>
      <c r="E8" s="3"/>
      <c r="F8" s="3"/>
      <c r="G8" s="3"/>
      <c r="H8" s="3"/>
      <c r="I8" s="60"/>
      <c r="J8" s="6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75</v>
      </c>
      <c r="C9" s="61" t="str">
        <f>IF(COUNT(C10:C14)&lt;5,"",REPT("★",ROUND(AVERAGE(C10:C14),0))&amp;REPT("☆",5-ROUND(AVERAGE(C10:C14),0)))</f>
        <v/>
      </c>
      <c r="D9" s="3"/>
      <c r="E9" s="62" t="s">
        <v>55</v>
      </c>
      <c r="F9" s="63"/>
      <c r="G9" s="10"/>
      <c r="H9" s="3"/>
      <c r="I9" s="5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18" t="s">
        <v>87</v>
      </c>
      <c r="C10" s="19"/>
      <c r="D10" s="3"/>
      <c r="E10" s="70"/>
      <c r="F10" s="7"/>
      <c r="G10" s="9"/>
      <c r="H10" s="3"/>
      <c r="I10" s="5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18" t="s">
        <v>100</v>
      </c>
      <c r="C11" s="19"/>
      <c r="D11" s="3"/>
      <c r="E11" s="36"/>
      <c r="G11" s="34"/>
      <c r="H11" s="3"/>
      <c r="I11" s="5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18" t="s">
        <v>105</v>
      </c>
      <c r="C12" s="19"/>
      <c r="D12" s="3"/>
      <c r="E12" s="36"/>
      <c r="G12" s="34"/>
      <c r="H12" s="3"/>
      <c r="I12" s="5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18" t="s">
        <v>109</v>
      </c>
      <c r="C13" s="19"/>
      <c r="D13" s="3"/>
      <c r="E13" s="36"/>
      <c r="G13" s="34"/>
      <c r="H13" s="3"/>
      <c r="I13" s="5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18" t="s">
        <v>114</v>
      </c>
      <c r="C14" s="19"/>
      <c r="D14" s="3"/>
      <c r="E14" s="11"/>
      <c r="F14" s="13"/>
      <c r="G14" s="15"/>
      <c r="H14" s="3"/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57"/>
      <c r="C15" s="59"/>
      <c r="D15" s="3"/>
      <c r="E15" s="3"/>
      <c r="F15" s="3"/>
      <c r="G15" s="3"/>
      <c r="H15" s="3"/>
      <c r="I15" s="5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8" t="s">
        <v>120</v>
      </c>
      <c r="C16" s="61" t="str">
        <f>IF(COUNT(C17:C21)&lt;5,"",REPT("★",ROUND(AVERAGE(C17:C21),0))&amp;REPT("☆",5-ROUND(AVERAGE(C17:C21),0)))</f>
        <v/>
      </c>
      <c r="D16" s="3"/>
      <c r="E16" s="62" t="s">
        <v>55</v>
      </c>
      <c r="F16" s="63"/>
      <c r="G16" s="10"/>
      <c r="H16" s="3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18" t="s">
        <v>127</v>
      </c>
      <c r="C17" s="19"/>
      <c r="D17" s="3"/>
      <c r="E17" s="70"/>
      <c r="F17" s="7"/>
      <c r="G17" s="9"/>
      <c r="H17" s="3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18" t="s">
        <v>130</v>
      </c>
      <c r="C18" s="19"/>
      <c r="D18" s="3"/>
      <c r="E18" s="36"/>
      <c r="G18" s="34"/>
      <c r="H18" s="3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18" t="s">
        <v>132</v>
      </c>
      <c r="C19" s="19"/>
      <c r="D19" s="3"/>
      <c r="E19" s="36"/>
      <c r="G19" s="34"/>
      <c r="H19" s="3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18" t="s">
        <v>135</v>
      </c>
      <c r="C20" s="19"/>
      <c r="D20" s="3"/>
      <c r="E20" s="36"/>
      <c r="G20" s="34"/>
      <c r="H20" s="3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18" t="s">
        <v>137</v>
      </c>
      <c r="C21" s="19"/>
      <c r="D21" s="3"/>
      <c r="E21" s="11"/>
      <c r="F21" s="13"/>
      <c r="G21" s="15"/>
      <c r="H21" s="3"/>
      <c r="I21" s="5"/>
      <c r="J21" s="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57"/>
      <c r="C22" s="59"/>
      <c r="D22" s="3"/>
      <c r="E22" s="3"/>
      <c r="F22" s="3"/>
      <c r="G22" s="3"/>
      <c r="H22" s="3"/>
      <c r="I22" s="5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8" t="s">
        <v>143</v>
      </c>
      <c r="C23" s="61" t="str">
        <f>IF(COUNT(C24:C27)&lt;4,"",REPT("★",ROUND(AVERAGE(C24:C27),0))&amp;REPT("☆",5-ROUND(AVERAGE(C24:C27),0)))</f>
        <v/>
      </c>
      <c r="D23" s="3"/>
      <c r="E23" s="62" t="s">
        <v>55</v>
      </c>
      <c r="F23" s="63"/>
      <c r="G23" s="10"/>
      <c r="H23" s="3"/>
      <c r="I23" s="5"/>
      <c r="J23" s="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18" t="s">
        <v>151</v>
      </c>
      <c r="C24" s="19"/>
      <c r="D24" s="3"/>
      <c r="E24" s="70"/>
      <c r="F24" s="7"/>
      <c r="G24" s="9"/>
      <c r="H24" s="3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 t="s">
        <v>155</v>
      </c>
      <c r="C25" s="19"/>
      <c r="D25" s="3"/>
      <c r="E25" s="36"/>
      <c r="G25" s="34"/>
      <c r="H25" s="3"/>
      <c r="I25" s="5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18" t="s">
        <v>157</v>
      </c>
      <c r="C26" s="19"/>
      <c r="D26" s="3"/>
      <c r="E26" s="36"/>
      <c r="G26" s="34"/>
      <c r="H26" s="3"/>
      <c r="I26" s="5"/>
      <c r="J26" s="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18" t="s">
        <v>160</v>
      </c>
      <c r="C27" s="19"/>
      <c r="D27" s="3"/>
      <c r="E27" s="11"/>
      <c r="F27" s="13"/>
      <c r="G27" s="15"/>
      <c r="H27" s="3"/>
      <c r="I27" s="5"/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57"/>
      <c r="C28" s="59"/>
      <c r="D28" s="3"/>
      <c r="E28" s="3"/>
      <c r="F28" s="3"/>
      <c r="G28" s="3"/>
      <c r="H28" s="3"/>
      <c r="I28" s="5"/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8" t="s">
        <v>164</v>
      </c>
      <c r="C29" s="61" t="str">
        <f>IF(COUNT(C30:C34)&lt;5,"",REPT("★",ROUND(AVERAGE(C30:C34),0))&amp;REPT("☆",5-ROUND(AVERAGE(C30:C34),0)))</f>
        <v/>
      </c>
      <c r="D29" s="3"/>
      <c r="E29" s="62" t="s">
        <v>55</v>
      </c>
      <c r="F29" s="63"/>
      <c r="G29" s="10"/>
      <c r="H29" s="3"/>
      <c r="I29" s="5"/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18" t="s">
        <v>172</v>
      </c>
      <c r="C30" s="19"/>
      <c r="D30" s="3"/>
      <c r="E30" s="89"/>
      <c r="F30" s="7"/>
      <c r="G30" s="9"/>
      <c r="H30" s="3"/>
      <c r="I30" s="5"/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18" t="s">
        <v>176</v>
      </c>
      <c r="C31" s="19"/>
      <c r="D31" s="3"/>
      <c r="E31" s="36"/>
      <c r="G31" s="34"/>
      <c r="H31" s="3"/>
      <c r="I31" s="5"/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18" t="s">
        <v>179</v>
      </c>
      <c r="C32" s="19"/>
      <c r="D32" s="3"/>
      <c r="E32" s="36"/>
      <c r="G32" s="34"/>
      <c r="H32" s="3"/>
      <c r="I32" s="5"/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18" t="s">
        <v>180</v>
      </c>
      <c r="C33" s="19"/>
      <c r="D33" s="3"/>
      <c r="E33" s="36"/>
      <c r="G33" s="34"/>
      <c r="H33" s="3"/>
      <c r="I33" s="5"/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18" t="s">
        <v>182</v>
      </c>
      <c r="C34" s="19"/>
      <c r="D34" s="3"/>
      <c r="E34" s="11"/>
      <c r="F34" s="13"/>
      <c r="G34" s="15"/>
      <c r="H34" s="3"/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57"/>
      <c r="C35" s="59"/>
      <c r="D35" s="3"/>
      <c r="E35" s="3"/>
      <c r="F35" s="3"/>
      <c r="G35" s="3"/>
      <c r="H35" s="3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8" t="s">
        <v>187</v>
      </c>
      <c r="C36" s="61" t="str">
        <f>IF(COUNT(C37:C43)&lt;7,"",REPT("★",ROUND(AVERAGE(C37:C43),0))&amp;REPT("☆",5-ROUND(AVERAGE(C37:C43),0)))</f>
        <v/>
      </c>
      <c r="D36" s="3"/>
      <c r="E36" s="62" t="s">
        <v>55</v>
      </c>
      <c r="F36" s="63"/>
      <c r="G36" s="10"/>
      <c r="H36" s="3"/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18" t="s">
        <v>189</v>
      </c>
      <c r="C37" s="19"/>
      <c r="D37" s="3"/>
      <c r="E37" s="70"/>
      <c r="F37" s="7"/>
      <c r="G37" s="9"/>
      <c r="H37" s="3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18" t="s">
        <v>191</v>
      </c>
      <c r="C38" s="19"/>
      <c r="D38" s="3"/>
      <c r="E38" s="36"/>
      <c r="G38" s="34"/>
      <c r="H38" s="3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18" t="s">
        <v>193</v>
      </c>
      <c r="C39" s="19"/>
      <c r="D39" s="3"/>
      <c r="E39" s="36"/>
      <c r="G39" s="34"/>
      <c r="H39" s="3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18" t="s">
        <v>194</v>
      </c>
      <c r="C40" s="19"/>
      <c r="D40" s="3"/>
      <c r="E40" s="36"/>
      <c r="G40" s="34"/>
      <c r="H40" s="3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18" t="s">
        <v>197</v>
      </c>
      <c r="C41" s="19"/>
      <c r="D41" s="3"/>
      <c r="E41" s="36"/>
      <c r="G41" s="34"/>
      <c r="H41" s="3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18" t="s">
        <v>199</v>
      </c>
      <c r="C42" s="19"/>
      <c r="D42" s="3"/>
      <c r="E42" s="36"/>
      <c r="G42" s="34"/>
      <c r="H42" s="3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18" t="s">
        <v>201</v>
      </c>
      <c r="C43" s="19"/>
      <c r="D43" s="3"/>
      <c r="E43" s="11"/>
      <c r="F43" s="13"/>
      <c r="G43" s="15"/>
      <c r="H43" s="3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57"/>
      <c r="C44" s="59"/>
      <c r="D44" s="3"/>
      <c r="E44" s="3"/>
      <c r="F44" s="3"/>
      <c r="G44" s="3"/>
      <c r="H44" s="3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108" t="s">
        <v>203</v>
      </c>
      <c r="D45" s="3"/>
      <c r="E45" s="62" t="s">
        <v>204</v>
      </c>
      <c r="F45" s="63"/>
      <c r="G45" s="10"/>
      <c r="H45" s="3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18" t="s">
        <v>205</v>
      </c>
      <c r="C46" s="19"/>
      <c r="D46" s="3"/>
      <c r="E46" s="70"/>
      <c r="F46" s="7"/>
      <c r="G46" s="9"/>
      <c r="H46" s="3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110"/>
      <c r="C47" s="111"/>
      <c r="D47" s="3"/>
      <c r="E47" s="36"/>
      <c r="G47" s="34"/>
      <c r="H47" s="3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112" t="s">
        <v>207</v>
      </c>
      <c r="C48" s="10"/>
      <c r="D48" s="3"/>
      <c r="E48" s="36"/>
      <c r="G48" s="34"/>
      <c r="H48" s="3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113"/>
      <c r="C49" s="9"/>
      <c r="D49" s="3"/>
      <c r="E49" s="36"/>
      <c r="G49" s="34"/>
      <c r="H49" s="3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11"/>
      <c r="C50" s="15"/>
      <c r="D50" s="3"/>
      <c r="E50" s="36"/>
      <c r="G50" s="34"/>
      <c r="H50" s="3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114"/>
      <c r="C51" s="111"/>
      <c r="D51" s="3"/>
      <c r="E51" s="36"/>
      <c r="G51" s="34"/>
      <c r="H51" s="3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112" t="s">
        <v>208</v>
      </c>
      <c r="C52" s="10"/>
      <c r="D52" s="3"/>
      <c r="E52" s="36"/>
      <c r="G52" s="34"/>
      <c r="H52" s="3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113"/>
      <c r="C53" s="9"/>
      <c r="D53" s="3"/>
      <c r="E53" s="36"/>
      <c r="G53" s="34"/>
      <c r="H53" s="3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11"/>
      <c r="C54" s="15"/>
      <c r="D54" s="3"/>
      <c r="E54" s="36"/>
      <c r="G54" s="34"/>
      <c r="H54" s="3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114"/>
      <c r="C55" s="111"/>
      <c r="D55" s="3"/>
      <c r="E55" s="36"/>
      <c r="G55" s="34"/>
      <c r="H55" s="3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112" t="s">
        <v>211</v>
      </c>
      <c r="C56" s="10"/>
      <c r="D56" s="3"/>
      <c r="E56" s="36"/>
      <c r="G56" s="34"/>
      <c r="H56" s="3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113"/>
      <c r="C57" s="9"/>
      <c r="D57" s="3"/>
      <c r="E57" s="36"/>
      <c r="G57" s="34"/>
      <c r="H57" s="3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11"/>
      <c r="C58" s="15"/>
      <c r="D58" s="3"/>
      <c r="E58" s="11"/>
      <c r="F58" s="13"/>
      <c r="G58" s="15"/>
      <c r="H58" s="3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4"/>
      <c r="D59" s="3"/>
      <c r="E59" s="3"/>
      <c r="F59" s="3"/>
      <c r="G59" s="3"/>
      <c r="H59" s="3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D60" s="3"/>
      <c r="E60" s="12" t="s">
        <v>214</v>
      </c>
      <c r="F60" s="7"/>
      <c r="G60" s="9"/>
      <c r="H60" s="3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D61" s="3"/>
      <c r="E61" s="133"/>
      <c r="F61" s="7"/>
      <c r="G61" s="9"/>
      <c r="H61" s="3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D62" s="3"/>
      <c r="E62" s="36"/>
      <c r="G62" s="34"/>
      <c r="H62" s="3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D63" s="3"/>
      <c r="E63" s="134" t="s">
        <v>221</v>
      </c>
      <c r="G63" s="34"/>
      <c r="H63" s="3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D64" s="3"/>
      <c r="E64" s="36"/>
      <c r="G64" s="34"/>
      <c r="H64" s="3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D65" s="3"/>
      <c r="E65" s="36"/>
      <c r="G65" s="34"/>
      <c r="H65" s="3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D66" s="3"/>
      <c r="E66" s="11"/>
      <c r="F66" s="13"/>
      <c r="G66" s="15"/>
      <c r="H66" s="3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135"/>
      <c r="C67" s="135"/>
      <c r="D67" s="3"/>
      <c r="E67" s="3"/>
      <c r="F67" s="3"/>
      <c r="G67" s="3"/>
      <c r="H67" s="3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135"/>
      <c r="D68" s="3"/>
      <c r="E68" s="3"/>
      <c r="F68" s="3"/>
      <c r="G68" s="3"/>
      <c r="H68" s="3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135"/>
      <c r="D69" s="3"/>
      <c r="E69" s="3"/>
      <c r="F69" s="3"/>
      <c r="G69" s="3"/>
      <c r="H69" s="3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135"/>
      <c r="D70" s="3"/>
      <c r="E70" s="3"/>
      <c r="F70" s="3"/>
      <c r="G70" s="3"/>
      <c r="H70" s="3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135"/>
      <c r="D71" s="3"/>
      <c r="E71" s="3"/>
      <c r="F71" s="3"/>
      <c r="G71" s="3"/>
      <c r="H71" s="3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135"/>
      <c r="D72" s="3"/>
      <c r="E72" s="3"/>
      <c r="F72" s="3"/>
      <c r="G72" s="3"/>
      <c r="H72" s="3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135"/>
      <c r="D73" s="3"/>
      <c r="E73" s="3"/>
      <c r="F73" s="3"/>
      <c r="G73" s="3"/>
      <c r="H73" s="3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4"/>
      <c r="D74" s="3"/>
      <c r="E74" s="3"/>
      <c r="F74" s="3"/>
      <c r="G74" s="3"/>
      <c r="H74" s="3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4"/>
      <c r="D75" s="3"/>
      <c r="E75" s="3"/>
      <c r="F75" s="3"/>
      <c r="G75" s="3"/>
      <c r="H75" s="3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4"/>
      <c r="D76" s="3"/>
      <c r="E76" s="3"/>
      <c r="F76" s="3"/>
      <c r="G76" s="3"/>
      <c r="H76" s="3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4"/>
      <c r="D77" s="3"/>
      <c r="E77" s="3"/>
      <c r="F77" s="3"/>
      <c r="G77" s="3"/>
      <c r="H77" s="3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4"/>
      <c r="D78" s="3"/>
      <c r="E78" s="3"/>
      <c r="F78" s="3"/>
      <c r="G78" s="3"/>
      <c r="H78" s="3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4"/>
      <c r="D79" s="3"/>
      <c r="E79" s="3"/>
      <c r="F79" s="3"/>
      <c r="G79" s="3"/>
      <c r="H79" s="3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4"/>
      <c r="D80" s="3"/>
      <c r="E80" s="3"/>
      <c r="F80" s="3"/>
      <c r="G80" s="3"/>
      <c r="H80" s="3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4"/>
      <c r="D81" s="3"/>
      <c r="E81" s="3"/>
      <c r="F81" s="3"/>
      <c r="G81" s="3"/>
      <c r="H81" s="3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4"/>
      <c r="D82" s="3"/>
      <c r="E82" s="3"/>
      <c r="F82" s="3"/>
      <c r="G82" s="3"/>
      <c r="H82" s="3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4"/>
      <c r="D83" s="3"/>
      <c r="E83" s="3"/>
      <c r="F83" s="3"/>
      <c r="G83" s="3"/>
      <c r="H83" s="3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4"/>
      <c r="D84" s="3"/>
      <c r="E84" s="3"/>
      <c r="F84" s="3"/>
      <c r="G84" s="3"/>
      <c r="H84" s="3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4"/>
      <c r="D85" s="3"/>
      <c r="E85" s="3"/>
      <c r="F85" s="3"/>
      <c r="G85" s="3"/>
      <c r="H85" s="3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4"/>
      <c r="D86" s="3"/>
      <c r="E86" s="3"/>
      <c r="F86" s="3"/>
      <c r="G86" s="3"/>
      <c r="H86" s="3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4"/>
      <c r="D87" s="3"/>
      <c r="E87" s="3"/>
      <c r="F87" s="3"/>
      <c r="G87" s="3"/>
      <c r="H87" s="3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4"/>
      <c r="D88" s="3"/>
      <c r="E88" s="3"/>
      <c r="F88" s="3"/>
      <c r="G88" s="3"/>
      <c r="H88" s="3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4"/>
      <c r="D89" s="3"/>
      <c r="E89" s="3"/>
      <c r="F89" s="3"/>
      <c r="G89" s="3"/>
      <c r="H89" s="3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4"/>
      <c r="D90" s="3"/>
      <c r="E90" s="3"/>
      <c r="F90" s="3"/>
      <c r="G90" s="3"/>
      <c r="H90" s="3"/>
      <c r="I90" s="5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4"/>
      <c r="D91" s="3"/>
      <c r="E91" s="3"/>
      <c r="F91" s="3"/>
      <c r="G91" s="3"/>
      <c r="H91" s="3"/>
      <c r="I91" s="5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4"/>
      <c r="D92" s="3"/>
      <c r="E92" s="3"/>
      <c r="F92" s="3"/>
      <c r="G92" s="3"/>
      <c r="H92" s="3"/>
      <c r="I92" s="5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4"/>
      <c r="D93" s="3"/>
      <c r="E93" s="3"/>
      <c r="F93" s="3"/>
      <c r="G93" s="3"/>
      <c r="H93" s="3"/>
      <c r="I93" s="5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4"/>
      <c r="D94" s="3"/>
      <c r="E94" s="3"/>
      <c r="F94" s="3"/>
      <c r="G94" s="3"/>
      <c r="H94" s="3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4"/>
      <c r="D95" s="3"/>
      <c r="E95" s="3"/>
      <c r="F95" s="3"/>
      <c r="G95" s="3"/>
      <c r="H95" s="3"/>
      <c r="I95" s="5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4"/>
      <c r="D96" s="3"/>
      <c r="E96" s="3"/>
      <c r="F96" s="3"/>
      <c r="G96" s="3"/>
      <c r="H96" s="3"/>
      <c r="I96" s="5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4"/>
      <c r="D97" s="3"/>
      <c r="E97" s="3"/>
      <c r="F97" s="3"/>
      <c r="G97" s="3"/>
      <c r="H97" s="3"/>
      <c r="I97" s="5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4"/>
      <c r="D98" s="3"/>
      <c r="E98" s="3"/>
      <c r="F98" s="3"/>
      <c r="G98" s="3"/>
      <c r="H98" s="3"/>
      <c r="I98" s="5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4"/>
      <c r="D99" s="3"/>
      <c r="E99" s="3"/>
      <c r="F99" s="3"/>
      <c r="G99" s="3"/>
      <c r="H99" s="3"/>
      <c r="I99" s="5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4"/>
      <c r="D100" s="3"/>
      <c r="E100" s="3"/>
      <c r="F100" s="3"/>
      <c r="G100" s="3"/>
      <c r="H100" s="3"/>
      <c r="I100" s="5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4"/>
      <c r="D101" s="3"/>
      <c r="E101" s="3"/>
      <c r="F101" s="3"/>
      <c r="G101" s="3"/>
      <c r="H101" s="3"/>
      <c r="I101" s="5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4"/>
      <c r="D102" s="3"/>
      <c r="E102" s="3"/>
      <c r="F102" s="3"/>
      <c r="G102" s="3"/>
      <c r="H102" s="3"/>
      <c r="I102" s="5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4"/>
      <c r="D103" s="3"/>
      <c r="E103" s="3"/>
      <c r="F103" s="3"/>
      <c r="G103" s="3"/>
      <c r="H103" s="3"/>
      <c r="I103" s="5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4"/>
      <c r="D104" s="3"/>
      <c r="E104" s="3"/>
      <c r="F104" s="3"/>
      <c r="G104" s="3"/>
      <c r="H104" s="3"/>
      <c r="I104" s="5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4"/>
      <c r="D105" s="3"/>
      <c r="E105" s="3"/>
      <c r="F105" s="3"/>
      <c r="G105" s="3"/>
      <c r="H105" s="3"/>
      <c r="I105" s="5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4"/>
      <c r="D106" s="3"/>
      <c r="E106" s="3"/>
      <c r="F106" s="3"/>
      <c r="G106" s="3"/>
      <c r="H106" s="3"/>
      <c r="I106" s="5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4"/>
      <c r="D107" s="3"/>
      <c r="E107" s="3"/>
      <c r="F107" s="3"/>
      <c r="G107" s="3"/>
      <c r="H107" s="3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4"/>
      <c r="D108" s="3"/>
      <c r="E108" s="3"/>
      <c r="F108" s="3"/>
      <c r="G108" s="3"/>
      <c r="H108" s="3"/>
      <c r="I108" s="5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4"/>
      <c r="D109" s="3"/>
      <c r="E109" s="3"/>
      <c r="F109" s="3"/>
      <c r="G109" s="3"/>
      <c r="H109" s="3"/>
      <c r="I109" s="5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4"/>
      <c r="D110" s="3"/>
      <c r="E110" s="3"/>
      <c r="F110" s="3"/>
      <c r="G110" s="3"/>
      <c r="H110" s="3"/>
      <c r="I110" s="5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4"/>
      <c r="D111" s="3"/>
      <c r="E111" s="3"/>
      <c r="F111" s="3"/>
      <c r="G111" s="3"/>
      <c r="H111" s="3"/>
      <c r="I111" s="5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4"/>
      <c r="D112" s="3"/>
      <c r="E112" s="3"/>
      <c r="F112" s="3"/>
      <c r="G112" s="3"/>
      <c r="H112" s="3"/>
      <c r="I112" s="5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4"/>
      <c r="D113" s="3"/>
      <c r="E113" s="3"/>
      <c r="F113" s="3"/>
      <c r="G113" s="3"/>
      <c r="H113" s="3"/>
      <c r="I113" s="5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4"/>
      <c r="D114" s="3"/>
      <c r="E114" s="3"/>
      <c r="F114" s="3"/>
      <c r="G114" s="3"/>
      <c r="H114" s="3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4"/>
      <c r="D115" s="3"/>
      <c r="E115" s="3"/>
      <c r="F115" s="3"/>
      <c r="G115" s="3"/>
      <c r="H115" s="3"/>
      <c r="I115" s="5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4"/>
      <c r="D116" s="3"/>
      <c r="E116" s="3"/>
      <c r="F116" s="3"/>
      <c r="G116" s="3"/>
      <c r="H116" s="3"/>
      <c r="I116" s="5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4"/>
      <c r="D117" s="3"/>
      <c r="E117" s="3"/>
      <c r="F117" s="3"/>
      <c r="G117" s="3"/>
      <c r="H117" s="3"/>
      <c r="I117" s="5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4"/>
      <c r="D118" s="3"/>
      <c r="E118" s="3"/>
      <c r="F118" s="3"/>
      <c r="G118" s="3"/>
      <c r="H118" s="3"/>
      <c r="I118" s="5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4"/>
      <c r="D119" s="3"/>
      <c r="E119" s="3"/>
      <c r="F119" s="3"/>
      <c r="G119" s="3"/>
      <c r="H119" s="3"/>
      <c r="I119" s="5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4"/>
      <c r="D120" s="3"/>
      <c r="E120" s="3"/>
      <c r="F120" s="3"/>
      <c r="G120" s="3"/>
      <c r="H120" s="3"/>
      <c r="I120" s="5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4"/>
      <c r="D121" s="3"/>
      <c r="E121" s="3"/>
      <c r="F121" s="3"/>
      <c r="G121" s="3"/>
      <c r="H121" s="3"/>
      <c r="I121" s="5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4"/>
      <c r="D122" s="3"/>
      <c r="E122" s="3"/>
      <c r="F122" s="3"/>
      <c r="G122" s="3"/>
      <c r="H122" s="3"/>
      <c r="I122" s="5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4"/>
      <c r="D123" s="3"/>
      <c r="E123" s="3"/>
      <c r="F123" s="3"/>
      <c r="G123" s="3"/>
      <c r="H123" s="3"/>
      <c r="I123" s="5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4"/>
      <c r="D124" s="3"/>
      <c r="E124" s="3"/>
      <c r="F124" s="3"/>
      <c r="G124" s="3"/>
      <c r="H124" s="3"/>
      <c r="I124" s="5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4"/>
      <c r="D125" s="3"/>
      <c r="E125" s="3"/>
      <c r="F125" s="3"/>
      <c r="G125" s="3"/>
      <c r="H125" s="3"/>
      <c r="I125" s="5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4"/>
      <c r="D126" s="3"/>
      <c r="E126" s="3"/>
      <c r="F126" s="3"/>
      <c r="G126" s="3"/>
      <c r="H126" s="3"/>
      <c r="I126" s="5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4"/>
      <c r="D127" s="3"/>
      <c r="E127" s="3"/>
      <c r="F127" s="3"/>
      <c r="G127" s="3"/>
      <c r="H127" s="3"/>
      <c r="I127" s="5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4"/>
      <c r="D128" s="3"/>
      <c r="E128" s="3"/>
      <c r="F128" s="3"/>
      <c r="G128" s="3"/>
      <c r="H128" s="3"/>
      <c r="I128" s="5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4"/>
      <c r="D129" s="3"/>
      <c r="E129" s="3"/>
      <c r="F129" s="3"/>
      <c r="G129" s="3"/>
      <c r="H129" s="3"/>
      <c r="I129" s="5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4"/>
      <c r="D130" s="3"/>
      <c r="E130" s="3"/>
      <c r="F130" s="3"/>
      <c r="G130" s="3"/>
      <c r="H130" s="3"/>
      <c r="I130" s="5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4"/>
      <c r="D131" s="3"/>
      <c r="E131" s="3"/>
      <c r="F131" s="3"/>
      <c r="G131" s="3"/>
      <c r="H131" s="3"/>
      <c r="I131" s="5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4"/>
      <c r="D132" s="3"/>
      <c r="E132" s="3"/>
      <c r="F132" s="3"/>
      <c r="G132" s="3"/>
      <c r="H132" s="3"/>
      <c r="I132" s="5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4"/>
      <c r="D133" s="3"/>
      <c r="E133" s="3"/>
      <c r="F133" s="3"/>
      <c r="G133" s="3"/>
      <c r="H133" s="3"/>
      <c r="I133" s="5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4"/>
      <c r="D134" s="3"/>
      <c r="E134" s="3"/>
      <c r="F134" s="3"/>
      <c r="G134" s="3"/>
      <c r="H134" s="3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4"/>
      <c r="D135" s="3"/>
      <c r="E135" s="3"/>
      <c r="F135" s="3"/>
      <c r="G135" s="3"/>
      <c r="H135" s="3"/>
      <c r="I135" s="5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4"/>
      <c r="D136" s="3"/>
      <c r="E136" s="3"/>
      <c r="F136" s="3"/>
      <c r="G136" s="3"/>
      <c r="H136" s="3"/>
      <c r="I136" s="5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4"/>
      <c r="D137" s="3"/>
      <c r="E137" s="3"/>
      <c r="F137" s="3"/>
      <c r="G137" s="3"/>
      <c r="H137" s="3"/>
      <c r="I137" s="5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4"/>
      <c r="D138" s="3"/>
      <c r="E138" s="3"/>
      <c r="F138" s="3"/>
      <c r="G138" s="3"/>
      <c r="H138" s="3"/>
      <c r="I138" s="5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4"/>
      <c r="D139" s="3"/>
      <c r="E139" s="3"/>
      <c r="F139" s="3"/>
      <c r="G139" s="3"/>
      <c r="H139" s="3"/>
      <c r="I139" s="5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4"/>
      <c r="D140" s="3"/>
      <c r="E140" s="3"/>
      <c r="F140" s="3"/>
      <c r="G140" s="3"/>
      <c r="H140" s="3"/>
      <c r="I140" s="5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4"/>
      <c r="D141" s="3"/>
      <c r="E141" s="3"/>
      <c r="F141" s="3"/>
      <c r="G141" s="3"/>
      <c r="H141" s="3"/>
      <c r="I141" s="5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4"/>
      <c r="D142" s="3"/>
      <c r="E142" s="3"/>
      <c r="F142" s="3"/>
      <c r="G142" s="3"/>
      <c r="H142" s="3"/>
      <c r="I142" s="5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4"/>
      <c r="D143" s="3"/>
      <c r="E143" s="3"/>
      <c r="F143" s="3"/>
      <c r="G143" s="3"/>
      <c r="H143" s="3"/>
      <c r="I143" s="5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4"/>
      <c r="D144" s="3"/>
      <c r="E144" s="3"/>
      <c r="F144" s="3"/>
      <c r="G144" s="3"/>
      <c r="H144" s="3"/>
      <c r="I144" s="5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4"/>
      <c r="D145" s="3"/>
      <c r="E145" s="3"/>
      <c r="F145" s="3"/>
      <c r="G145" s="3"/>
      <c r="H145" s="3"/>
      <c r="I145" s="5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4"/>
      <c r="D146" s="3"/>
      <c r="E146" s="3"/>
      <c r="F146" s="3"/>
      <c r="G146" s="3"/>
      <c r="H146" s="3"/>
      <c r="I146" s="5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4"/>
      <c r="D147" s="3"/>
      <c r="E147" s="3"/>
      <c r="F147" s="3"/>
      <c r="G147" s="3"/>
      <c r="H147" s="3"/>
      <c r="I147" s="5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4"/>
      <c r="D148" s="3"/>
      <c r="E148" s="3"/>
      <c r="F148" s="3"/>
      <c r="G148" s="3"/>
      <c r="H148" s="3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4"/>
      <c r="D149" s="3"/>
      <c r="E149" s="3"/>
      <c r="F149" s="3"/>
      <c r="G149" s="3"/>
      <c r="H149" s="3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4"/>
      <c r="D150" s="3"/>
      <c r="E150" s="3"/>
      <c r="F150" s="3"/>
      <c r="G150" s="3"/>
      <c r="H150" s="3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4"/>
      <c r="D151" s="3"/>
      <c r="E151" s="3"/>
      <c r="F151" s="3"/>
      <c r="G151" s="3"/>
      <c r="H151" s="3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4"/>
      <c r="D152" s="3"/>
      <c r="E152" s="3"/>
      <c r="F152" s="3"/>
      <c r="G152" s="3"/>
      <c r="H152" s="3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4"/>
      <c r="D153" s="3"/>
      <c r="E153" s="3"/>
      <c r="F153" s="3"/>
      <c r="G153" s="3"/>
      <c r="H153" s="3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4"/>
      <c r="D154" s="3"/>
      <c r="E154" s="3"/>
      <c r="F154" s="3"/>
      <c r="G154" s="3"/>
      <c r="H154" s="3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4"/>
      <c r="D155" s="3"/>
      <c r="E155" s="3"/>
      <c r="F155" s="3"/>
      <c r="G155" s="3"/>
      <c r="H155" s="3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4"/>
      <c r="D156" s="3"/>
      <c r="E156" s="3"/>
      <c r="F156" s="3"/>
      <c r="G156" s="3"/>
      <c r="H156" s="3"/>
      <c r="I156" s="5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4"/>
      <c r="D157" s="3"/>
      <c r="E157" s="3"/>
      <c r="F157" s="3"/>
      <c r="G157" s="3"/>
      <c r="H157" s="3"/>
      <c r="I157" s="5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4"/>
      <c r="D158" s="3"/>
      <c r="E158" s="3"/>
      <c r="F158" s="3"/>
      <c r="G158" s="3"/>
      <c r="H158" s="3"/>
      <c r="I158" s="5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4"/>
      <c r="D159" s="3"/>
      <c r="E159" s="3"/>
      <c r="F159" s="3"/>
      <c r="G159" s="3"/>
      <c r="H159" s="3"/>
      <c r="I159" s="5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4"/>
      <c r="D160" s="3"/>
      <c r="E160" s="3"/>
      <c r="F160" s="3"/>
      <c r="G160" s="3"/>
      <c r="H160" s="3"/>
      <c r="I160" s="5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4"/>
      <c r="D161" s="3"/>
      <c r="E161" s="3"/>
      <c r="F161" s="3"/>
      <c r="G161" s="3"/>
      <c r="H161" s="3"/>
      <c r="I161" s="5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4"/>
      <c r="D162" s="3"/>
      <c r="E162" s="3"/>
      <c r="F162" s="3"/>
      <c r="G162" s="3"/>
      <c r="H162" s="3"/>
      <c r="I162" s="5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4"/>
      <c r="D163" s="3"/>
      <c r="E163" s="3"/>
      <c r="F163" s="3"/>
      <c r="G163" s="3"/>
      <c r="H163" s="3"/>
      <c r="I163" s="5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4"/>
      <c r="D164" s="3"/>
      <c r="E164" s="3"/>
      <c r="F164" s="3"/>
      <c r="G164" s="3"/>
      <c r="H164" s="3"/>
      <c r="I164" s="5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4"/>
      <c r="D165" s="3"/>
      <c r="E165" s="3"/>
      <c r="F165" s="3"/>
      <c r="G165" s="3"/>
      <c r="H165" s="3"/>
      <c r="I165" s="5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4"/>
      <c r="D166" s="3"/>
      <c r="E166" s="3"/>
      <c r="F166" s="3"/>
      <c r="G166" s="3"/>
      <c r="H166" s="3"/>
      <c r="I166" s="5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4"/>
      <c r="D167" s="3"/>
      <c r="E167" s="3"/>
      <c r="F167" s="3"/>
      <c r="G167" s="3"/>
      <c r="H167" s="3"/>
      <c r="I167" s="5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4"/>
      <c r="D168" s="3"/>
      <c r="E168" s="3"/>
      <c r="F168" s="3"/>
      <c r="G168" s="3"/>
      <c r="H168" s="3"/>
      <c r="I168" s="5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4"/>
      <c r="D169" s="3"/>
      <c r="E169" s="3"/>
      <c r="F169" s="3"/>
      <c r="G169" s="3"/>
      <c r="H169" s="3"/>
      <c r="I169" s="5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4"/>
      <c r="D170" s="3"/>
      <c r="E170" s="3"/>
      <c r="F170" s="3"/>
      <c r="G170" s="3"/>
      <c r="H170" s="3"/>
      <c r="I170" s="5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4"/>
      <c r="D171" s="3"/>
      <c r="E171" s="3"/>
      <c r="F171" s="3"/>
      <c r="G171" s="3"/>
      <c r="H171" s="3"/>
      <c r="I171" s="5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4"/>
      <c r="D172" s="3"/>
      <c r="E172" s="3"/>
      <c r="F172" s="3"/>
      <c r="G172" s="3"/>
      <c r="H172" s="3"/>
      <c r="I172" s="5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4"/>
      <c r="D173" s="3"/>
      <c r="E173" s="3"/>
      <c r="F173" s="3"/>
      <c r="G173" s="3"/>
      <c r="H173" s="3"/>
      <c r="I173" s="5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4"/>
      <c r="D174" s="3"/>
      <c r="E174" s="3"/>
      <c r="F174" s="3"/>
      <c r="G174" s="3"/>
      <c r="H174" s="3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4"/>
      <c r="D175" s="3"/>
      <c r="E175" s="3"/>
      <c r="F175" s="3"/>
      <c r="G175" s="3"/>
      <c r="H175" s="3"/>
      <c r="I175" s="5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4"/>
      <c r="D176" s="3"/>
      <c r="E176" s="3"/>
      <c r="F176" s="3"/>
      <c r="G176" s="3"/>
      <c r="H176" s="3"/>
      <c r="I176" s="5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4"/>
      <c r="D177" s="3"/>
      <c r="E177" s="3"/>
      <c r="F177" s="3"/>
      <c r="G177" s="3"/>
      <c r="H177" s="3"/>
      <c r="I177" s="5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4"/>
      <c r="D178" s="3"/>
      <c r="E178" s="3"/>
      <c r="F178" s="3"/>
      <c r="G178" s="3"/>
      <c r="H178" s="3"/>
      <c r="I178" s="5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4"/>
      <c r="D179" s="3"/>
      <c r="E179" s="3"/>
      <c r="F179" s="3"/>
      <c r="G179" s="3"/>
      <c r="H179" s="3"/>
      <c r="I179" s="5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4"/>
      <c r="D180" s="3"/>
      <c r="E180" s="3"/>
      <c r="F180" s="3"/>
      <c r="G180" s="3"/>
      <c r="H180" s="3"/>
      <c r="I180" s="5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4"/>
      <c r="D181" s="3"/>
      <c r="E181" s="3"/>
      <c r="F181" s="3"/>
      <c r="G181" s="3"/>
      <c r="H181" s="3"/>
      <c r="I181" s="5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4"/>
      <c r="D182" s="3"/>
      <c r="E182" s="3"/>
      <c r="F182" s="3"/>
      <c r="G182" s="3"/>
      <c r="H182" s="3"/>
      <c r="I182" s="5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4"/>
      <c r="D183" s="3"/>
      <c r="E183" s="3"/>
      <c r="F183" s="3"/>
      <c r="G183" s="3"/>
      <c r="H183" s="3"/>
      <c r="I183" s="5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4"/>
      <c r="D184" s="3"/>
      <c r="E184" s="3"/>
      <c r="F184" s="3"/>
      <c r="G184" s="3"/>
      <c r="H184" s="3"/>
      <c r="I184" s="5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4"/>
      <c r="D185" s="3"/>
      <c r="E185" s="3"/>
      <c r="F185" s="3"/>
      <c r="G185" s="3"/>
      <c r="H185" s="3"/>
      <c r="I185" s="5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4"/>
      <c r="D186" s="3"/>
      <c r="E186" s="3"/>
      <c r="F186" s="3"/>
      <c r="G186" s="3"/>
      <c r="H186" s="3"/>
      <c r="I186" s="5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4"/>
      <c r="D187" s="3"/>
      <c r="E187" s="3"/>
      <c r="F187" s="3"/>
      <c r="G187" s="3"/>
      <c r="H187" s="3"/>
      <c r="I187" s="5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4"/>
      <c r="D188" s="3"/>
      <c r="E188" s="3"/>
      <c r="F188" s="3"/>
      <c r="G188" s="3"/>
      <c r="H188" s="3"/>
      <c r="I188" s="5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4"/>
      <c r="D189" s="3"/>
      <c r="E189" s="3"/>
      <c r="F189" s="3"/>
      <c r="G189" s="3"/>
      <c r="H189" s="3"/>
      <c r="I189" s="5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4"/>
      <c r="D190" s="3"/>
      <c r="E190" s="3"/>
      <c r="F190" s="3"/>
      <c r="G190" s="3"/>
      <c r="H190" s="3"/>
      <c r="I190" s="5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4"/>
      <c r="D191" s="3"/>
      <c r="E191" s="3"/>
      <c r="F191" s="3"/>
      <c r="G191" s="3"/>
      <c r="H191" s="3"/>
      <c r="I191" s="5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4"/>
      <c r="D192" s="3"/>
      <c r="E192" s="3"/>
      <c r="F192" s="3"/>
      <c r="G192" s="3"/>
      <c r="H192" s="3"/>
      <c r="I192" s="5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4"/>
      <c r="D193" s="3"/>
      <c r="E193" s="3"/>
      <c r="F193" s="3"/>
      <c r="G193" s="3"/>
      <c r="H193" s="3"/>
      <c r="I193" s="5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4"/>
      <c r="D194" s="3"/>
      <c r="E194" s="3"/>
      <c r="F194" s="3"/>
      <c r="G194" s="3"/>
      <c r="H194" s="3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4"/>
      <c r="D195" s="3"/>
      <c r="E195" s="3"/>
      <c r="F195" s="3"/>
      <c r="G195" s="3"/>
      <c r="H195" s="3"/>
      <c r="I195" s="5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4"/>
      <c r="D196" s="3"/>
      <c r="E196" s="3"/>
      <c r="F196" s="3"/>
      <c r="G196" s="3"/>
      <c r="H196" s="3"/>
      <c r="I196" s="5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4"/>
      <c r="D197" s="3"/>
      <c r="E197" s="3"/>
      <c r="F197" s="3"/>
      <c r="G197" s="3"/>
      <c r="H197" s="3"/>
      <c r="I197" s="5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4"/>
      <c r="D198" s="3"/>
      <c r="E198" s="3"/>
      <c r="F198" s="3"/>
      <c r="G198" s="3"/>
      <c r="H198" s="3"/>
      <c r="I198" s="5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4"/>
      <c r="D199" s="3"/>
      <c r="E199" s="3"/>
      <c r="F199" s="3"/>
      <c r="G199" s="3"/>
      <c r="H199" s="3"/>
      <c r="I199" s="5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4"/>
      <c r="D200" s="3"/>
      <c r="E200" s="3"/>
      <c r="F200" s="3"/>
      <c r="G200" s="3"/>
      <c r="H200" s="3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4"/>
      <c r="D201" s="3"/>
      <c r="E201" s="3"/>
      <c r="F201" s="3"/>
      <c r="G201" s="3"/>
      <c r="H201" s="3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4"/>
      <c r="D202" s="3"/>
      <c r="E202" s="3"/>
      <c r="F202" s="3"/>
      <c r="G202" s="3"/>
      <c r="H202" s="3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4"/>
      <c r="D203" s="3"/>
      <c r="E203" s="3"/>
      <c r="F203" s="3"/>
      <c r="G203" s="3"/>
      <c r="H203" s="3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4"/>
      <c r="D204" s="3"/>
      <c r="E204" s="3"/>
      <c r="F204" s="3"/>
      <c r="G204" s="3"/>
      <c r="H204" s="3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4"/>
      <c r="D205" s="3"/>
      <c r="E205" s="3"/>
      <c r="F205" s="3"/>
      <c r="G205" s="3"/>
      <c r="H205" s="3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4"/>
      <c r="D206" s="3"/>
      <c r="E206" s="3"/>
      <c r="F206" s="3"/>
      <c r="G206" s="3"/>
      <c r="H206" s="3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4"/>
      <c r="D207" s="3"/>
      <c r="E207" s="3"/>
      <c r="F207" s="3"/>
      <c r="G207" s="3"/>
      <c r="H207" s="3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4"/>
      <c r="D208" s="3"/>
      <c r="E208" s="3"/>
      <c r="F208" s="3"/>
      <c r="G208" s="3"/>
      <c r="H208" s="3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4"/>
      <c r="D209" s="3"/>
      <c r="E209" s="3"/>
      <c r="F209" s="3"/>
      <c r="G209" s="3"/>
      <c r="H209" s="3"/>
      <c r="I209" s="5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4"/>
      <c r="D210" s="3"/>
      <c r="E210" s="3"/>
      <c r="F210" s="3"/>
      <c r="G210" s="3"/>
      <c r="H210" s="3"/>
      <c r="I210" s="5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4"/>
      <c r="D211" s="3"/>
      <c r="E211" s="3"/>
      <c r="F211" s="3"/>
      <c r="G211" s="3"/>
      <c r="H211" s="3"/>
      <c r="I211" s="5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4"/>
      <c r="D212" s="3"/>
      <c r="E212" s="3"/>
      <c r="F212" s="3"/>
      <c r="G212" s="3"/>
      <c r="H212" s="3"/>
      <c r="I212" s="5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4"/>
      <c r="D213" s="3"/>
      <c r="E213" s="3"/>
      <c r="F213" s="3"/>
      <c r="G213" s="3"/>
      <c r="H213" s="3"/>
      <c r="I213" s="5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4"/>
      <c r="D214" s="3"/>
      <c r="E214" s="3"/>
      <c r="F214" s="3"/>
      <c r="G214" s="3"/>
      <c r="H214" s="3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4"/>
      <c r="D215" s="3"/>
      <c r="E215" s="3"/>
      <c r="F215" s="3"/>
      <c r="G215" s="3"/>
      <c r="H215" s="3"/>
      <c r="I215" s="5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4"/>
      <c r="D216" s="3"/>
      <c r="E216" s="3"/>
      <c r="F216" s="3"/>
      <c r="G216" s="3"/>
      <c r="H216" s="3"/>
      <c r="I216" s="5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4"/>
      <c r="D217" s="3"/>
      <c r="E217" s="3"/>
      <c r="F217" s="3"/>
      <c r="G217" s="3"/>
      <c r="H217" s="3"/>
      <c r="I217" s="5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4"/>
      <c r="D218" s="3"/>
      <c r="E218" s="3"/>
      <c r="F218" s="3"/>
      <c r="G218" s="3"/>
      <c r="H218" s="3"/>
      <c r="I218" s="5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4"/>
      <c r="D219" s="3"/>
      <c r="E219" s="3"/>
      <c r="F219" s="3"/>
      <c r="G219" s="3"/>
      <c r="H219" s="3"/>
      <c r="I219" s="5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4"/>
      <c r="D220" s="3"/>
      <c r="E220" s="3"/>
      <c r="F220" s="3"/>
      <c r="G220" s="3"/>
      <c r="H220" s="3"/>
      <c r="I220" s="5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4"/>
      <c r="D221" s="3"/>
      <c r="E221" s="3"/>
      <c r="F221" s="3"/>
      <c r="G221" s="3"/>
      <c r="H221" s="3"/>
      <c r="I221" s="5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4"/>
      <c r="D222" s="3"/>
      <c r="E222" s="3"/>
      <c r="F222" s="3"/>
      <c r="G222" s="3"/>
      <c r="H222" s="3"/>
      <c r="I222" s="5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4"/>
      <c r="D223" s="3"/>
      <c r="E223" s="3"/>
      <c r="F223" s="3"/>
      <c r="G223" s="3"/>
      <c r="H223" s="3"/>
      <c r="I223" s="5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4"/>
      <c r="D224" s="3"/>
      <c r="E224" s="3"/>
      <c r="F224" s="3"/>
      <c r="G224" s="3"/>
      <c r="H224" s="3"/>
      <c r="I224" s="5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4"/>
      <c r="D225" s="3"/>
      <c r="E225" s="3"/>
      <c r="F225" s="3"/>
      <c r="G225" s="3"/>
      <c r="H225" s="3"/>
      <c r="I225" s="5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4"/>
      <c r="D226" s="3"/>
      <c r="E226" s="3"/>
      <c r="F226" s="3"/>
      <c r="G226" s="3"/>
      <c r="H226" s="3"/>
      <c r="I226" s="5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4"/>
      <c r="D227" s="3"/>
      <c r="E227" s="3"/>
      <c r="F227" s="3"/>
      <c r="G227" s="3"/>
      <c r="H227" s="3"/>
      <c r="I227" s="5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4"/>
      <c r="D228" s="3"/>
      <c r="E228" s="3"/>
      <c r="F228" s="3"/>
      <c r="G228" s="3"/>
      <c r="H228" s="3"/>
      <c r="I228" s="5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4"/>
      <c r="D229" s="3"/>
      <c r="E229" s="3"/>
      <c r="F229" s="3"/>
      <c r="G229" s="3"/>
      <c r="H229" s="3"/>
      <c r="I229" s="5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4"/>
      <c r="D230" s="3"/>
      <c r="E230" s="3"/>
      <c r="F230" s="3"/>
      <c r="G230" s="3"/>
      <c r="H230" s="3"/>
      <c r="I230" s="5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4"/>
      <c r="D231" s="3"/>
      <c r="E231" s="3"/>
      <c r="F231" s="3"/>
      <c r="G231" s="3"/>
      <c r="H231" s="3"/>
      <c r="I231" s="5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4"/>
      <c r="D232" s="3"/>
      <c r="E232" s="3"/>
      <c r="F232" s="3"/>
      <c r="G232" s="3"/>
      <c r="H232" s="3"/>
      <c r="I232" s="5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4"/>
      <c r="D233" s="3"/>
      <c r="E233" s="3"/>
      <c r="F233" s="3"/>
      <c r="G233" s="3"/>
      <c r="H233" s="3"/>
      <c r="I233" s="5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4"/>
      <c r="D234" s="3"/>
      <c r="E234" s="3"/>
      <c r="F234" s="3"/>
      <c r="G234" s="3"/>
      <c r="H234" s="3"/>
      <c r="I234" s="5"/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4"/>
      <c r="D235" s="3"/>
      <c r="E235" s="3"/>
      <c r="F235" s="3"/>
      <c r="G235" s="3"/>
      <c r="H235" s="3"/>
      <c r="I235" s="5"/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4"/>
      <c r="D236" s="3"/>
      <c r="E236" s="3"/>
      <c r="F236" s="3"/>
      <c r="G236" s="3"/>
      <c r="H236" s="3"/>
      <c r="I236" s="5"/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4"/>
      <c r="D237" s="3"/>
      <c r="E237" s="3"/>
      <c r="F237" s="3"/>
      <c r="G237" s="3"/>
      <c r="H237" s="3"/>
      <c r="I237" s="5"/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4"/>
      <c r="D238" s="3"/>
      <c r="E238" s="3"/>
      <c r="F238" s="3"/>
      <c r="G238" s="3"/>
      <c r="H238" s="3"/>
      <c r="I238" s="5"/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4"/>
      <c r="D239" s="3"/>
      <c r="E239" s="3"/>
      <c r="F239" s="3"/>
      <c r="G239" s="3"/>
      <c r="H239" s="3"/>
      <c r="I239" s="5"/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4"/>
      <c r="D240" s="3"/>
      <c r="E240" s="3"/>
      <c r="F240" s="3"/>
      <c r="G240" s="3"/>
      <c r="H240" s="3"/>
      <c r="I240" s="5"/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4"/>
      <c r="D241" s="3"/>
      <c r="E241" s="3"/>
      <c r="F241" s="3"/>
      <c r="G241" s="3"/>
      <c r="H241" s="3"/>
      <c r="I241" s="5"/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4"/>
      <c r="D242" s="3"/>
      <c r="E242" s="3"/>
      <c r="F242" s="3"/>
      <c r="G242" s="3"/>
      <c r="H242" s="3"/>
      <c r="I242" s="5"/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4"/>
      <c r="D243" s="3"/>
      <c r="E243" s="3"/>
      <c r="F243" s="3"/>
      <c r="G243" s="3"/>
      <c r="H243" s="3"/>
      <c r="I243" s="5"/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4"/>
      <c r="D244" s="3"/>
      <c r="E244" s="3"/>
      <c r="F244" s="3"/>
      <c r="G244" s="3"/>
      <c r="H244" s="3"/>
      <c r="I244" s="5"/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4"/>
      <c r="D245" s="3"/>
      <c r="E245" s="3"/>
      <c r="F245" s="3"/>
      <c r="G245" s="3"/>
      <c r="H245" s="3"/>
      <c r="I245" s="5"/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4"/>
      <c r="D246" s="3"/>
      <c r="E246" s="3"/>
      <c r="F246" s="3"/>
      <c r="G246" s="3"/>
      <c r="H246" s="3"/>
      <c r="I246" s="5"/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4"/>
      <c r="D247" s="3"/>
      <c r="E247" s="3"/>
      <c r="F247" s="3"/>
      <c r="G247" s="3"/>
      <c r="H247" s="3"/>
      <c r="I247" s="5"/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4"/>
      <c r="D248" s="3"/>
      <c r="E248" s="3"/>
      <c r="F248" s="3"/>
      <c r="G248" s="3"/>
      <c r="H248" s="3"/>
      <c r="I248" s="5"/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4"/>
      <c r="D249" s="3"/>
      <c r="E249" s="3"/>
      <c r="F249" s="3"/>
      <c r="G249" s="3"/>
      <c r="H249" s="3"/>
      <c r="I249" s="5"/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4"/>
      <c r="D250" s="3"/>
      <c r="E250" s="3"/>
      <c r="F250" s="3"/>
      <c r="G250" s="3"/>
      <c r="H250" s="3"/>
      <c r="I250" s="5"/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4"/>
      <c r="D251" s="3"/>
      <c r="E251" s="3"/>
      <c r="F251" s="3"/>
      <c r="G251" s="3"/>
      <c r="H251" s="3"/>
      <c r="I251" s="5"/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4"/>
      <c r="D252" s="3"/>
      <c r="E252" s="3"/>
      <c r="F252" s="3"/>
      <c r="G252" s="3"/>
      <c r="H252" s="3"/>
      <c r="I252" s="5"/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4"/>
      <c r="D253" s="3"/>
      <c r="E253" s="3"/>
      <c r="F253" s="3"/>
      <c r="G253" s="3"/>
      <c r="H253" s="3"/>
      <c r="I253" s="5"/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4"/>
      <c r="D254" s="3"/>
      <c r="E254" s="3"/>
      <c r="F254" s="3"/>
      <c r="G254" s="3"/>
      <c r="H254" s="3"/>
      <c r="I254" s="5"/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4"/>
      <c r="D255" s="3"/>
      <c r="E255" s="3"/>
      <c r="F255" s="3"/>
      <c r="G255" s="3"/>
      <c r="H255" s="3"/>
      <c r="I255" s="5"/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4"/>
      <c r="D256" s="3"/>
      <c r="E256" s="3"/>
      <c r="F256" s="3"/>
      <c r="G256" s="3"/>
      <c r="H256" s="3"/>
      <c r="I256" s="5"/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4"/>
      <c r="D257" s="3"/>
      <c r="E257" s="3"/>
      <c r="F257" s="3"/>
      <c r="G257" s="3"/>
      <c r="H257" s="3"/>
      <c r="I257" s="5"/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4"/>
      <c r="D258" s="3"/>
      <c r="E258" s="3"/>
      <c r="F258" s="3"/>
      <c r="G258" s="3"/>
      <c r="H258" s="3"/>
      <c r="I258" s="5"/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4"/>
      <c r="D259" s="3"/>
      <c r="E259" s="3"/>
      <c r="F259" s="3"/>
      <c r="G259" s="3"/>
      <c r="H259" s="3"/>
      <c r="I259" s="5"/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4"/>
      <c r="D260" s="3"/>
      <c r="E260" s="3"/>
      <c r="F260" s="3"/>
      <c r="G260" s="3"/>
      <c r="H260" s="3"/>
      <c r="I260" s="5"/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4"/>
      <c r="D261" s="3"/>
      <c r="E261" s="3"/>
      <c r="F261" s="3"/>
      <c r="G261" s="3"/>
      <c r="H261" s="3"/>
      <c r="I261" s="5"/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4"/>
      <c r="D262" s="3"/>
      <c r="E262" s="3"/>
      <c r="F262" s="3"/>
      <c r="G262" s="3"/>
      <c r="H262" s="3"/>
      <c r="I262" s="5"/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4"/>
      <c r="D263" s="3"/>
      <c r="E263" s="3"/>
      <c r="F263" s="3"/>
      <c r="G263" s="3"/>
      <c r="H263" s="3"/>
      <c r="I263" s="5"/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4"/>
      <c r="D264" s="3"/>
      <c r="E264" s="3"/>
      <c r="F264" s="3"/>
      <c r="G264" s="3"/>
      <c r="H264" s="3"/>
      <c r="I264" s="5"/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4"/>
      <c r="D265" s="3"/>
      <c r="E265" s="3"/>
      <c r="F265" s="3"/>
      <c r="G265" s="3"/>
      <c r="H265" s="3"/>
      <c r="I265" s="5"/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4"/>
      <c r="D266" s="3"/>
      <c r="E266" s="3"/>
      <c r="F266" s="3"/>
      <c r="G266" s="3"/>
      <c r="H266" s="3"/>
      <c r="I266" s="5"/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4"/>
      <c r="D267" s="3"/>
      <c r="E267" s="3"/>
      <c r="F267" s="3"/>
      <c r="G267" s="3"/>
      <c r="H267" s="3"/>
      <c r="I267" s="5"/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4"/>
      <c r="D268" s="3"/>
      <c r="E268" s="3"/>
      <c r="F268" s="3"/>
      <c r="G268" s="3"/>
      <c r="H268" s="3"/>
      <c r="I268" s="5"/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4"/>
      <c r="D269" s="3"/>
      <c r="E269" s="3"/>
      <c r="F269" s="3"/>
      <c r="G269" s="3"/>
      <c r="H269" s="3"/>
      <c r="I269" s="5"/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4"/>
      <c r="D270" s="3"/>
      <c r="E270" s="3"/>
      <c r="F270" s="3"/>
      <c r="G270" s="3"/>
      <c r="H270" s="3"/>
      <c r="I270" s="5"/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4"/>
      <c r="D271" s="3"/>
      <c r="E271" s="3"/>
      <c r="F271" s="3"/>
      <c r="G271" s="3"/>
      <c r="H271" s="3"/>
      <c r="I271" s="5"/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4"/>
      <c r="D272" s="3"/>
      <c r="E272" s="3"/>
      <c r="F272" s="3"/>
      <c r="G272" s="3"/>
      <c r="H272" s="3"/>
      <c r="I272" s="5"/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4"/>
      <c r="D273" s="3"/>
      <c r="E273" s="3"/>
      <c r="F273" s="3"/>
      <c r="G273" s="3"/>
      <c r="H273" s="3"/>
      <c r="I273" s="5"/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4"/>
      <c r="D274" s="3"/>
      <c r="E274" s="3"/>
      <c r="F274" s="3"/>
      <c r="G274" s="3"/>
      <c r="H274" s="3"/>
      <c r="I274" s="5"/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4"/>
      <c r="D275" s="3"/>
      <c r="E275" s="3"/>
      <c r="F275" s="3"/>
      <c r="G275" s="3"/>
      <c r="H275" s="3"/>
      <c r="I275" s="5"/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4"/>
      <c r="D276" s="3"/>
      <c r="E276" s="3"/>
      <c r="F276" s="3"/>
      <c r="G276" s="3"/>
      <c r="H276" s="3"/>
      <c r="I276" s="5"/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4"/>
      <c r="D277" s="3"/>
      <c r="E277" s="3"/>
      <c r="F277" s="3"/>
      <c r="G277" s="3"/>
      <c r="H277" s="3"/>
      <c r="I277" s="5"/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4"/>
      <c r="D278" s="3"/>
      <c r="E278" s="3"/>
      <c r="F278" s="3"/>
      <c r="G278" s="3"/>
      <c r="H278" s="3"/>
      <c r="I278" s="5"/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4"/>
      <c r="D279" s="3"/>
      <c r="E279" s="3"/>
      <c r="F279" s="3"/>
      <c r="G279" s="3"/>
      <c r="H279" s="3"/>
      <c r="I279" s="5"/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4"/>
      <c r="D280" s="3"/>
      <c r="E280" s="3"/>
      <c r="F280" s="3"/>
      <c r="G280" s="3"/>
      <c r="H280" s="3"/>
      <c r="I280" s="5"/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4"/>
      <c r="D281" s="3"/>
      <c r="E281" s="3"/>
      <c r="F281" s="3"/>
      <c r="G281" s="3"/>
      <c r="H281" s="3"/>
      <c r="I281" s="5"/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4"/>
      <c r="D282" s="3"/>
      <c r="E282" s="3"/>
      <c r="F282" s="3"/>
      <c r="G282" s="3"/>
      <c r="H282" s="3"/>
      <c r="I282" s="5"/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4"/>
      <c r="D283" s="3"/>
      <c r="E283" s="3"/>
      <c r="F283" s="3"/>
      <c r="G283" s="3"/>
      <c r="H283" s="3"/>
      <c r="I283" s="5"/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4"/>
      <c r="D284" s="3"/>
      <c r="E284" s="3"/>
      <c r="F284" s="3"/>
      <c r="G284" s="3"/>
      <c r="H284" s="3"/>
      <c r="I284" s="5"/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4"/>
      <c r="D285" s="3"/>
      <c r="E285" s="3"/>
      <c r="F285" s="3"/>
      <c r="G285" s="3"/>
      <c r="H285" s="3"/>
      <c r="I285" s="5"/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4"/>
      <c r="D286" s="3"/>
      <c r="E286" s="3"/>
      <c r="F286" s="3"/>
      <c r="G286" s="3"/>
      <c r="H286" s="3"/>
      <c r="I286" s="5"/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4"/>
      <c r="D287" s="3"/>
      <c r="E287" s="3"/>
      <c r="F287" s="3"/>
      <c r="G287" s="3"/>
      <c r="H287" s="3"/>
      <c r="I287" s="5"/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4"/>
      <c r="D288" s="3"/>
      <c r="E288" s="3"/>
      <c r="F288" s="3"/>
      <c r="G288" s="3"/>
      <c r="H288" s="3"/>
      <c r="I288" s="5"/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4"/>
      <c r="D289" s="3"/>
      <c r="E289" s="3"/>
      <c r="F289" s="3"/>
      <c r="G289" s="3"/>
      <c r="H289" s="3"/>
      <c r="I289" s="5"/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4"/>
      <c r="D290" s="3"/>
      <c r="E290" s="3"/>
      <c r="F290" s="3"/>
      <c r="G290" s="3"/>
      <c r="H290" s="3"/>
      <c r="I290" s="5"/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4"/>
      <c r="D291" s="3"/>
      <c r="E291" s="3"/>
      <c r="F291" s="3"/>
      <c r="G291" s="3"/>
      <c r="H291" s="3"/>
      <c r="I291" s="5"/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4"/>
      <c r="D292" s="3"/>
      <c r="E292" s="3"/>
      <c r="F292" s="3"/>
      <c r="G292" s="3"/>
      <c r="H292" s="3"/>
      <c r="I292" s="5"/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4"/>
      <c r="D293" s="3"/>
      <c r="E293" s="3"/>
      <c r="F293" s="3"/>
      <c r="G293" s="3"/>
      <c r="H293" s="3"/>
      <c r="I293" s="5"/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4"/>
      <c r="D294" s="3"/>
      <c r="E294" s="3"/>
      <c r="F294" s="3"/>
      <c r="G294" s="3"/>
      <c r="H294" s="3"/>
      <c r="I294" s="5"/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4"/>
      <c r="D295" s="3"/>
      <c r="E295" s="3"/>
      <c r="F295" s="3"/>
      <c r="G295" s="3"/>
      <c r="H295" s="3"/>
      <c r="I295" s="5"/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4"/>
      <c r="D296" s="3"/>
      <c r="E296" s="3"/>
      <c r="F296" s="3"/>
      <c r="G296" s="3"/>
      <c r="H296" s="3"/>
      <c r="I296" s="5"/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4"/>
      <c r="D297" s="3"/>
      <c r="E297" s="3"/>
      <c r="F297" s="3"/>
      <c r="G297" s="3"/>
      <c r="H297" s="3"/>
      <c r="I297" s="5"/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4"/>
      <c r="D298" s="3"/>
      <c r="E298" s="3"/>
      <c r="F298" s="3"/>
      <c r="G298" s="3"/>
      <c r="H298" s="3"/>
      <c r="I298" s="5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4"/>
      <c r="D299" s="3"/>
      <c r="E299" s="3"/>
      <c r="F299" s="3"/>
      <c r="G299" s="3"/>
      <c r="H299" s="3"/>
      <c r="I299" s="5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4"/>
      <c r="D300" s="3"/>
      <c r="E300" s="3"/>
      <c r="F300" s="3"/>
      <c r="G300" s="3"/>
      <c r="H300" s="3"/>
      <c r="I300" s="5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4"/>
      <c r="D301" s="3"/>
      <c r="E301" s="3"/>
      <c r="F301" s="3"/>
      <c r="G301" s="3"/>
      <c r="H301" s="3"/>
      <c r="I301" s="5"/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4"/>
      <c r="D302" s="3"/>
      <c r="E302" s="3"/>
      <c r="F302" s="3"/>
      <c r="G302" s="3"/>
      <c r="H302" s="3"/>
      <c r="I302" s="5"/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4"/>
      <c r="D303" s="3"/>
      <c r="E303" s="3"/>
      <c r="F303" s="3"/>
      <c r="G303" s="3"/>
      <c r="H303" s="3"/>
      <c r="I303" s="5"/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4"/>
      <c r="D304" s="3"/>
      <c r="E304" s="3"/>
      <c r="F304" s="3"/>
      <c r="G304" s="3"/>
      <c r="H304" s="3"/>
      <c r="I304" s="5"/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4"/>
      <c r="D305" s="3"/>
      <c r="E305" s="3"/>
      <c r="F305" s="3"/>
      <c r="G305" s="3"/>
      <c r="H305" s="3"/>
      <c r="I305" s="5"/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4"/>
      <c r="D306" s="3"/>
      <c r="E306" s="3"/>
      <c r="F306" s="3"/>
      <c r="G306" s="3"/>
      <c r="H306" s="3"/>
      <c r="I306" s="5"/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4"/>
      <c r="D307" s="3"/>
      <c r="E307" s="3"/>
      <c r="F307" s="3"/>
      <c r="G307" s="3"/>
      <c r="H307" s="3"/>
      <c r="I307" s="5"/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4"/>
      <c r="D308" s="3"/>
      <c r="E308" s="3"/>
      <c r="F308" s="3"/>
      <c r="G308" s="3"/>
      <c r="H308" s="3"/>
      <c r="I308" s="5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4"/>
      <c r="D309" s="3"/>
      <c r="E309" s="3"/>
      <c r="F309" s="3"/>
      <c r="G309" s="3"/>
      <c r="H309" s="3"/>
      <c r="I309" s="5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4"/>
      <c r="D310" s="3"/>
      <c r="E310" s="3"/>
      <c r="F310" s="3"/>
      <c r="G310" s="3"/>
      <c r="H310" s="3"/>
      <c r="I310" s="5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4"/>
      <c r="D311" s="3"/>
      <c r="E311" s="3"/>
      <c r="F311" s="3"/>
      <c r="G311" s="3"/>
      <c r="H311" s="3"/>
      <c r="I311" s="5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4"/>
      <c r="D312" s="3"/>
      <c r="E312" s="3"/>
      <c r="F312" s="3"/>
      <c r="G312" s="3"/>
      <c r="H312" s="3"/>
      <c r="I312" s="5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4"/>
      <c r="D313" s="3"/>
      <c r="E313" s="3"/>
      <c r="F313" s="3"/>
      <c r="G313" s="3"/>
      <c r="H313" s="3"/>
      <c r="I313" s="5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4"/>
      <c r="D314" s="3"/>
      <c r="E314" s="3"/>
      <c r="F314" s="3"/>
      <c r="G314" s="3"/>
      <c r="H314" s="3"/>
      <c r="I314" s="5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4"/>
      <c r="D315" s="3"/>
      <c r="E315" s="3"/>
      <c r="F315" s="3"/>
      <c r="G315" s="3"/>
      <c r="H315" s="3"/>
      <c r="I315" s="5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4"/>
      <c r="D316" s="3"/>
      <c r="E316" s="3"/>
      <c r="F316" s="3"/>
      <c r="G316" s="3"/>
      <c r="H316" s="3"/>
      <c r="I316" s="5"/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4"/>
      <c r="D317" s="3"/>
      <c r="E317" s="3"/>
      <c r="F317" s="3"/>
      <c r="G317" s="3"/>
      <c r="H317" s="3"/>
      <c r="I317" s="5"/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4"/>
      <c r="D318" s="3"/>
      <c r="E318" s="3"/>
      <c r="F318" s="3"/>
      <c r="G318" s="3"/>
      <c r="H318" s="3"/>
      <c r="I318" s="5"/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4"/>
      <c r="D319" s="3"/>
      <c r="E319" s="3"/>
      <c r="F319" s="3"/>
      <c r="G319" s="3"/>
      <c r="H319" s="3"/>
      <c r="I319" s="5"/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4"/>
      <c r="D320" s="3"/>
      <c r="E320" s="3"/>
      <c r="F320" s="3"/>
      <c r="G320" s="3"/>
      <c r="H320" s="3"/>
      <c r="I320" s="5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4"/>
      <c r="D321" s="3"/>
      <c r="E321" s="3"/>
      <c r="F321" s="3"/>
      <c r="G321" s="3"/>
      <c r="H321" s="3"/>
      <c r="I321" s="5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4"/>
      <c r="D322" s="3"/>
      <c r="E322" s="3"/>
      <c r="F322" s="3"/>
      <c r="G322" s="3"/>
      <c r="H322" s="3"/>
      <c r="I322" s="5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4"/>
      <c r="D323" s="3"/>
      <c r="E323" s="3"/>
      <c r="F323" s="3"/>
      <c r="G323" s="3"/>
      <c r="H323" s="3"/>
      <c r="I323" s="5"/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4"/>
      <c r="D324" s="3"/>
      <c r="E324" s="3"/>
      <c r="F324" s="3"/>
      <c r="G324" s="3"/>
      <c r="H324" s="3"/>
      <c r="I324" s="5"/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4"/>
      <c r="D325" s="3"/>
      <c r="E325" s="3"/>
      <c r="F325" s="3"/>
      <c r="G325" s="3"/>
      <c r="H325" s="3"/>
      <c r="I325" s="5"/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4"/>
      <c r="D326" s="3"/>
      <c r="E326" s="3"/>
      <c r="F326" s="3"/>
      <c r="G326" s="3"/>
      <c r="H326" s="3"/>
      <c r="I326" s="5"/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4"/>
      <c r="D327" s="3"/>
      <c r="E327" s="3"/>
      <c r="F327" s="3"/>
      <c r="G327" s="3"/>
      <c r="H327" s="3"/>
      <c r="I327" s="5"/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4"/>
      <c r="D328" s="3"/>
      <c r="E328" s="3"/>
      <c r="F328" s="3"/>
      <c r="G328" s="3"/>
      <c r="H328" s="3"/>
      <c r="I328" s="5"/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4"/>
      <c r="D329" s="3"/>
      <c r="E329" s="3"/>
      <c r="F329" s="3"/>
      <c r="G329" s="3"/>
      <c r="H329" s="3"/>
      <c r="I329" s="5"/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4"/>
      <c r="D330" s="3"/>
      <c r="E330" s="3"/>
      <c r="F330" s="3"/>
      <c r="G330" s="3"/>
      <c r="H330" s="3"/>
      <c r="I330" s="5"/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4"/>
      <c r="D331" s="3"/>
      <c r="E331" s="3"/>
      <c r="F331" s="3"/>
      <c r="G331" s="3"/>
      <c r="H331" s="3"/>
      <c r="I331" s="5"/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4"/>
      <c r="D332" s="3"/>
      <c r="E332" s="3"/>
      <c r="F332" s="3"/>
      <c r="G332" s="3"/>
      <c r="H332" s="3"/>
      <c r="I332" s="5"/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4"/>
      <c r="D333" s="3"/>
      <c r="E333" s="3"/>
      <c r="F333" s="3"/>
      <c r="G333" s="3"/>
      <c r="H333" s="3"/>
      <c r="I333" s="5"/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4"/>
      <c r="D334" s="3"/>
      <c r="E334" s="3"/>
      <c r="F334" s="3"/>
      <c r="G334" s="3"/>
      <c r="H334" s="3"/>
      <c r="I334" s="5"/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4"/>
      <c r="D335" s="3"/>
      <c r="E335" s="3"/>
      <c r="F335" s="3"/>
      <c r="G335" s="3"/>
      <c r="H335" s="3"/>
      <c r="I335" s="5"/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4"/>
      <c r="D336" s="3"/>
      <c r="E336" s="3"/>
      <c r="F336" s="3"/>
      <c r="G336" s="3"/>
      <c r="H336" s="3"/>
      <c r="I336" s="5"/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4"/>
      <c r="D337" s="3"/>
      <c r="E337" s="3"/>
      <c r="F337" s="3"/>
      <c r="G337" s="3"/>
      <c r="H337" s="3"/>
      <c r="I337" s="5"/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4"/>
      <c r="D338" s="3"/>
      <c r="E338" s="3"/>
      <c r="F338" s="3"/>
      <c r="G338" s="3"/>
      <c r="H338" s="3"/>
      <c r="I338" s="5"/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4"/>
      <c r="D339" s="3"/>
      <c r="E339" s="3"/>
      <c r="F339" s="3"/>
      <c r="G339" s="3"/>
      <c r="H339" s="3"/>
      <c r="I339" s="5"/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4"/>
      <c r="D340" s="3"/>
      <c r="E340" s="3"/>
      <c r="F340" s="3"/>
      <c r="G340" s="3"/>
      <c r="H340" s="3"/>
      <c r="I340" s="5"/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4"/>
      <c r="D341" s="3"/>
      <c r="E341" s="3"/>
      <c r="F341" s="3"/>
      <c r="G341" s="3"/>
      <c r="H341" s="3"/>
      <c r="I341" s="5"/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4"/>
      <c r="D342" s="3"/>
      <c r="E342" s="3"/>
      <c r="F342" s="3"/>
      <c r="G342" s="3"/>
      <c r="H342" s="3"/>
      <c r="I342" s="5"/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4"/>
      <c r="D343" s="3"/>
      <c r="E343" s="3"/>
      <c r="F343" s="3"/>
      <c r="G343" s="3"/>
      <c r="H343" s="3"/>
      <c r="I343" s="5"/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4"/>
      <c r="D344" s="3"/>
      <c r="E344" s="3"/>
      <c r="F344" s="3"/>
      <c r="G344" s="3"/>
      <c r="H344" s="3"/>
      <c r="I344" s="5"/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4"/>
      <c r="D345" s="3"/>
      <c r="E345" s="3"/>
      <c r="F345" s="3"/>
      <c r="G345" s="3"/>
      <c r="H345" s="3"/>
      <c r="I345" s="5"/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4"/>
      <c r="D346" s="3"/>
      <c r="E346" s="3"/>
      <c r="F346" s="3"/>
      <c r="G346" s="3"/>
      <c r="H346" s="3"/>
      <c r="I346" s="5"/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4"/>
      <c r="D347" s="3"/>
      <c r="E347" s="3"/>
      <c r="F347" s="3"/>
      <c r="G347" s="3"/>
      <c r="H347" s="3"/>
      <c r="I347" s="5"/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4"/>
      <c r="D348" s="3"/>
      <c r="E348" s="3"/>
      <c r="F348" s="3"/>
      <c r="G348" s="3"/>
      <c r="H348" s="3"/>
      <c r="I348" s="5"/>
      <c r="J348" s="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4"/>
      <c r="D349" s="3"/>
      <c r="E349" s="3"/>
      <c r="F349" s="3"/>
      <c r="G349" s="3"/>
      <c r="H349" s="3"/>
      <c r="I349" s="5"/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4"/>
      <c r="D350" s="3"/>
      <c r="E350" s="3"/>
      <c r="F350" s="3"/>
      <c r="G350" s="3"/>
      <c r="H350" s="3"/>
      <c r="I350" s="5"/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4"/>
      <c r="D351" s="3"/>
      <c r="E351" s="3"/>
      <c r="F351" s="3"/>
      <c r="G351" s="3"/>
      <c r="H351" s="3"/>
      <c r="I351" s="5"/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4"/>
      <c r="D352" s="3"/>
      <c r="E352" s="3"/>
      <c r="F352" s="3"/>
      <c r="G352" s="3"/>
      <c r="H352" s="3"/>
      <c r="I352" s="5"/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4"/>
      <c r="D353" s="3"/>
      <c r="E353" s="3"/>
      <c r="F353" s="3"/>
      <c r="G353" s="3"/>
      <c r="H353" s="3"/>
      <c r="I353" s="5"/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4"/>
      <c r="D354" s="3"/>
      <c r="E354" s="3"/>
      <c r="F354" s="3"/>
      <c r="G354" s="3"/>
      <c r="H354" s="3"/>
      <c r="I354" s="5"/>
      <c r="J354" s="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4"/>
      <c r="D355" s="3"/>
      <c r="E355" s="3"/>
      <c r="F355" s="3"/>
      <c r="G355" s="3"/>
      <c r="H355" s="3"/>
      <c r="I355" s="5"/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4"/>
      <c r="D356" s="3"/>
      <c r="E356" s="3"/>
      <c r="F356" s="3"/>
      <c r="G356" s="3"/>
      <c r="H356" s="3"/>
      <c r="I356" s="5"/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4"/>
      <c r="D357" s="3"/>
      <c r="E357" s="3"/>
      <c r="F357" s="3"/>
      <c r="G357" s="3"/>
      <c r="H357" s="3"/>
      <c r="I357" s="5"/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4"/>
      <c r="D358" s="3"/>
      <c r="E358" s="3"/>
      <c r="F358" s="3"/>
      <c r="G358" s="3"/>
      <c r="H358" s="3"/>
      <c r="I358" s="5"/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4"/>
      <c r="D359" s="3"/>
      <c r="E359" s="3"/>
      <c r="F359" s="3"/>
      <c r="G359" s="3"/>
      <c r="H359" s="3"/>
      <c r="I359" s="5"/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4"/>
      <c r="D360" s="3"/>
      <c r="E360" s="3"/>
      <c r="F360" s="3"/>
      <c r="G360" s="3"/>
      <c r="H360" s="3"/>
      <c r="I360" s="5"/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4"/>
      <c r="D361" s="3"/>
      <c r="E361" s="3"/>
      <c r="F361" s="3"/>
      <c r="G361" s="3"/>
      <c r="H361" s="3"/>
      <c r="I361" s="5"/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4"/>
      <c r="D362" s="3"/>
      <c r="E362" s="3"/>
      <c r="F362" s="3"/>
      <c r="G362" s="3"/>
      <c r="H362" s="3"/>
      <c r="I362" s="5"/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4"/>
      <c r="D363" s="3"/>
      <c r="E363" s="3"/>
      <c r="F363" s="3"/>
      <c r="G363" s="3"/>
      <c r="H363" s="3"/>
      <c r="I363" s="5"/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4"/>
      <c r="D364" s="3"/>
      <c r="E364" s="3"/>
      <c r="F364" s="3"/>
      <c r="G364" s="3"/>
      <c r="H364" s="3"/>
      <c r="I364" s="5"/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4"/>
      <c r="D365" s="3"/>
      <c r="E365" s="3"/>
      <c r="F365" s="3"/>
      <c r="G365" s="3"/>
      <c r="H365" s="3"/>
      <c r="I365" s="5"/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4"/>
      <c r="D366" s="3"/>
      <c r="E366" s="3"/>
      <c r="F366" s="3"/>
      <c r="G366" s="3"/>
      <c r="H366" s="3"/>
      <c r="I366" s="5"/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4"/>
      <c r="D367" s="3"/>
      <c r="E367" s="3"/>
      <c r="F367" s="3"/>
      <c r="G367" s="3"/>
      <c r="H367" s="3"/>
      <c r="I367" s="5"/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4"/>
      <c r="D368" s="3"/>
      <c r="E368" s="3"/>
      <c r="F368" s="3"/>
      <c r="G368" s="3"/>
      <c r="H368" s="3"/>
      <c r="I368" s="5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4"/>
      <c r="D369" s="3"/>
      <c r="E369" s="3"/>
      <c r="F369" s="3"/>
      <c r="G369" s="3"/>
      <c r="H369" s="3"/>
      <c r="I369" s="5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4"/>
      <c r="D370" s="3"/>
      <c r="E370" s="3"/>
      <c r="F370" s="3"/>
      <c r="G370" s="3"/>
      <c r="H370" s="3"/>
      <c r="I370" s="5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4"/>
      <c r="D371" s="3"/>
      <c r="E371" s="3"/>
      <c r="F371" s="3"/>
      <c r="G371" s="3"/>
      <c r="H371" s="3"/>
      <c r="I371" s="5"/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4"/>
      <c r="D372" s="3"/>
      <c r="E372" s="3"/>
      <c r="F372" s="3"/>
      <c r="G372" s="3"/>
      <c r="H372" s="3"/>
      <c r="I372" s="5"/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4"/>
      <c r="D373" s="3"/>
      <c r="E373" s="3"/>
      <c r="F373" s="3"/>
      <c r="G373" s="3"/>
      <c r="H373" s="3"/>
      <c r="I373" s="5"/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4"/>
      <c r="D374" s="3"/>
      <c r="E374" s="3"/>
      <c r="F374" s="3"/>
      <c r="G374" s="3"/>
      <c r="H374" s="3"/>
      <c r="I374" s="5"/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4"/>
      <c r="D375" s="3"/>
      <c r="E375" s="3"/>
      <c r="F375" s="3"/>
      <c r="G375" s="3"/>
      <c r="H375" s="3"/>
      <c r="I375" s="5"/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4"/>
      <c r="D376" s="3"/>
      <c r="E376" s="3"/>
      <c r="F376" s="3"/>
      <c r="G376" s="3"/>
      <c r="H376" s="3"/>
      <c r="I376" s="5"/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4"/>
      <c r="D377" s="3"/>
      <c r="E377" s="3"/>
      <c r="F377" s="3"/>
      <c r="G377" s="3"/>
      <c r="H377" s="3"/>
      <c r="I377" s="5"/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4"/>
      <c r="D378" s="3"/>
      <c r="E378" s="3"/>
      <c r="F378" s="3"/>
      <c r="G378" s="3"/>
      <c r="H378" s="3"/>
      <c r="I378" s="5"/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4"/>
      <c r="D379" s="3"/>
      <c r="E379" s="3"/>
      <c r="F379" s="3"/>
      <c r="G379" s="3"/>
      <c r="H379" s="3"/>
      <c r="I379" s="5"/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4"/>
      <c r="D380" s="3"/>
      <c r="E380" s="3"/>
      <c r="F380" s="3"/>
      <c r="G380" s="3"/>
      <c r="H380" s="3"/>
      <c r="I380" s="5"/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4"/>
      <c r="D381" s="3"/>
      <c r="E381" s="3"/>
      <c r="F381" s="3"/>
      <c r="G381" s="3"/>
      <c r="H381" s="3"/>
      <c r="I381" s="5"/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4"/>
      <c r="D382" s="3"/>
      <c r="E382" s="3"/>
      <c r="F382" s="3"/>
      <c r="G382" s="3"/>
      <c r="H382" s="3"/>
      <c r="I382" s="5"/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4"/>
      <c r="D383" s="3"/>
      <c r="E383" s="3"/>
      <c r="F383" s="3"/>
      <c r="G383" s="3"/>
      <c r="H383" s="3"/>
      <c r="I383" s="5"/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4"/>
      <c r="D384" s="3"/>
      <c r="E384" s="3"/>
      <c r="F384" s="3"/>
      <c r="G384" s="3"/>
      <c r="H384" s="3"/>
      <c r="I384" s="5"/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4"/>
      <c r="D385" s="3"/>
      <c r="E385" s="3"/>
      <c r="F385" s="3"/>
      <c r="G385" s="3"/>
      <c r="H385" s="3"/>
      <c r="I385" s="5"/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4"/>
      <c r="D386" s="3"/>
      <c r="E386" s="3"/>
      <c r="F386" s="3"/>
      <c r="G386" s="3"/>
      <c r="H386" s="3"/>
      <c r="I386" s="5"/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4"/>
      <c r="D387" s="3"/>
      <c r="E387" s="3"/>
      <c r="F387" s="3"/>
      <c r="G387" s="3"/>
      <c r="H387" s="3"/>
      <c r="I387" s="5"/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4"/>
      <c r="D388" s="3"/>
      <c r="E388" s="3"/>
      <c r="F388" s="3"/>
      <c r="G388" s="3"/>
      <c r="H388" s="3"/>
      <c r="I388" s="5"/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4"/>
      <c r="D389" s="3"/>
      <c r="E389" s="3"/>
      <c r="F389" s="3"/>
      <c r="G389" s="3"/>
      <c r="H389" s="3"/>
      <c r="I389" s="5"/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4"/>
      <c r="D390" s="3"/>
      <c r="E390" s="3"/>
      <c r="F390" s="3"/>
      <c r="G390" s="3"/>
      <c r="H390" s="3"/>
      <c r="I390" s="5"/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4"/>
      <c r="D391" s="3"/>
      <c r="E391" s="3"/>
      <c r="F391" s="3"/>
      <c r="G391" s="3"/>
      <c r="H391" s="3"/>
      <c r="I391" s="5"/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4"/>
      <c r="D392" s="3"/>
      <c r="E392" s="3"/>
      <c r="F392" s="3"/>
      <c r="G392" s="3"/>
      <c r="H392" s="3"/>
      <c r="I392" s="5"/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4"/>
      <c r="D393" s="3"/>
      <c r="E393" s="3"/>
      <c r="F393" s="3"/>
      <c r="G393" s="3"/>
      <c r="H393" s="3"/>
      <c r="I393" s="5"/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4"/>
      <c r="D394" s="3"/>
      <c r="E394" s="3"/>
      <c r="F394" s="3"/>
      <c r="G394" s="3"/>
      <c r="H394" s="3"/>
      <c r="I394" s="5"/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4"/>
      <c r="D395" s="3"/>
      <c r="E395" s="3"/>
      <c r="F395" s="3"/>
      <c r="G395" s="3"/>
      <c r="H395" s="3"/>
      <c r="I395" s="5"/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4"/>
      <c r="D396" s="3"/>
      <c r="E396" s="3"/>
      <c r="F396" s="3"/>
      <c r="G396" s="3"/>
      <c r="H396" s="3"/>
      <c r="I396" s="5"/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4"/>
      <c r="D397" s="3"/>
      <c r="E397" s="3"/>
      <c r="F397" s="3"/>
      <c r="G397" s="3"/>
      <c r="H397" s="3"/>
      <c r="I397" s="5"/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4"/>
      <c r="D398" s="3"/>
      <c r="E398" s="3"/>
      <c r="F398" s="3"/>
      <c r="G398" s="3"/>
      <c r="H398" s="3"/>
      <c r="I398" s="5"/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4"/>
      <c r="D399" s="3"/>
      <c r="E399" s="3"/>
      <c r="F399" s="3"/>
      <c r="G399" s="3"/>
      <c r="H399" s="3"/>
      <c r="I399" s="5"/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4"/>
      <c r="D400" s="3"/>
      <c r="E400" s="3"/>
      <c r="F400" s="3"/>
      <c r="G400" s="3"/>
      <c r="H400" s="3"/>
      <c r="I400" s="5"/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4"/>
      <c r="D401" s="3"/>
      <c r="E401" s="3"/>
      <c r="F401" s="3"/>
      <c r="G401" s="3"/>
      <c r="H401" s="3"/>
      <c r="I401" s="5"/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4"/>
      <c r="D402" s="3"/>
      <c r="E402" s="3"/>
      <c r="F402" s="3"/>
      <c r="G402" s="3"/>
      <c r="H402" s="3"/>
      <c r="I402" s="5"/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4"/>
      <c r="D403" s="3"/>
      <c r="E403" s="3"/>
      <c r="F403" s="3"/>
      <c r="G403" s="3"/>
      <c r="H403" s="3"/>
      <c r="I403" s="5"/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4"/>
      <c r="D404" s="3"/>
      <c r="E404" s="3"/>
      <c r="F404" s="3"/>
      <c r="G404" s="3"/>
      <c r="H404" s="3"/>
      <c r="I404" s="5"/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4"/>
      <c r="D405" s="3"/>
      <c r="E405" s="3"/>
      <c r="F405" s="3"/>
      <c r="G405" s="3"/>
      <c r="H405" s="3"/>
      <c r="I405" s="5"/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4"/>
      <c r="D406" s="3"/>
      <c r="E406" s="3"/>
      <c r="F406" s="3"/>
      <c r="G406" s="3"/>
      <c r="H406" s="3"/>
      <c r="I406" s="5"/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4"/>
      <c r="D407" s="3"/>
      <c r="E407" s="3"/>
      <c r="F407" s="3"/>
      <c r="G407" s="3"/>
      <c r="H407" s="3"/>
      <c r="I407" s="5"/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4"/>
      <c r="D408" s="3"/>
      <c r="E408" s="3"/>
      <c r="F408" s="3"/>
      <c r="G408" s="3"/>
      <c r="H408" s="3"/>
      <c r="I408" s="5"/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4"/>
      <c r="D409" s="3"/>
      <c r="E409" s="3"/>
      <c r="F409" s="3"/>
      <c r="G409" s="3"/>
      <c r="H409" s="3"/>
      <c r="I409" s="5"/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4"/>
      <c r="D410" s="3"/>
      <c r="E410" s="3"/>
      <c r="F410" s="3"/>
      <c r="G410" s="3"/>
      <c r="H410" s="3"/>
      <c r="I410" s="5"/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4"/>
      <c r="D411" s="3"/>
      <c r="E411" s="3"/>
      <c r="F411" s="3"/>
      <c r="G411" s="3"/>
      <c r="H411" s="3"/>
      <c r="I411" s="5"/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4"/>
      <c r="D412" s="3"/>
      <c r="E412" s="3"/>
      <c r="F412" s="3"/>
      <c r="G412" s="3"/>
      <c r="H412" s="3"/>
      <c r="I412" s="5"/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4"/>
      <c r="D413" s="3"/>
      <c r="E413" s="3"/>
      <c r="F413" s="3"/>
      <c r="G413" s="3"/>
      <c r="H413" s="3"/>
      <c r="I413" s="5"/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4"/>
      <c r="D414" s="3"/>
      <c r="E414" s="3"/>
      <c r="F414" s="3"/>
      <c r="G414" s="3"/>
      <c r="H414" s="3"/>
      <c r="I414" s="5"/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4"/>
      <c r="D415" s="3"/>
      <c r="E415" s="3"/>
      <c r="F415" s="3"/>
      <c r="G415" s="3"/>
      <c r="H415" s="3"/>
      <c r="I415" s="5"/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4"/>
      <c r="D416" s="3"/>
      <c r="E416" s="3"/>
      <c r="F416" s="3"/>
      <c r="G416" s="3"/>
      <c r="H416" s="3"/>
      <c r="I416" s="5"/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4"/>
      <c r="D417" s="3"/>
      <c r="E417" s="3"/>
      <c r="F417" s="3"/>
      <c r="G417" s="3"/>
      <c r="H417" s="3"/>
      <c r="I417" s="5"/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4"/>
      <c r="D418" s="3"/>
      <c r="E418" s="3"/>
      <c r="F418" s="3"/>
      <c r="G418" s="3"/>
      <c r="H418" s="3"/>
      <c r="I418" s="5"/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4"/>
      <c r="D419" s="3"/>
      <c r="E419" s="3"/>
      <c r="F419" s="3"/>
      <c r="G419" s="3"/>
      <c r="H419" s="3"/>
      <c r="I419" s="5"/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4"/>
      <c r="D420" s="3"/>
      <c r="E420" s="3"/>
      <c r="F420" s="3"/>
      <c r="G420" s="3"/>
      <c r="H420" s="3"/>
      <c r="I420" s="5"/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4"/>
      <c r="D421" s="3"/>
      <c r="E421" s="3"/>
      <c r="F421" s="3"/>
      <c r="G421" s="3"/>
      <c r="H421" s="3"/>
      <c r="I421" s="5"/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4"/>
      <c r="D422" s="3"/>
      <c r="E422" s="3"/>
      <c r="F422" s="3"/>
      <c r="G422" s="3"/>
      <c r="H422" s="3"/>
      <c r="I422" s="5"/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4"/>
      <c r="D423" s="3"/>
      <c r="E423" s="3"/>
      <c r="F423" s="3"/>
      <c r="G423" s="3"/>
      <c r="H423" s="3"/>
      <c r="I423" s="5"/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4"/>
      <c r="D424" s="3"/>
      <c r="E424" s="3"/>
      <c r="F424" s="3"/>
      <c r="G424" s="3"/>
      <c r="H424" s="3"/>
      <c r="I424" s="5"/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4"/>
      <c r="D425" s="3"/>
      <c r="E425" s="3"/>
      <c r="F425" s="3"/>
      <c r="G425" s="3"/>
      <c r="H425" s="3"/>
      <c r="I425" s="5"/>
      <c r="J425" s="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4"/>
      <c r="D426" s="3"/>
      <c r="E426" s="3"/>
      <c r="F426" s="3"/>
      <c r="G426" s="3"/>
      <c r="H426" s="3"/>
      <c r="I426" s="5"/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4"/>
      <c r="D427" s="3"/>
      <c r="E427" s="3"/>
      <c r="F427" s="3"/>
      <c r="G427" s="3"/>
      <c r="H427" s="3"/>
      <c r="I427" s="5"/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4"/>
      <c r="D428" s="3"/>
      <c r="E428" s="3"/>
      <c r="F428" s="3"/>
      <c r="G428" s="3"/>
      <c r="H428" s="3"/>
      <c r="I428" s="5"/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4"/>
      <c r="D429" s="3"/>
      <c r="E429" s="3"/>
      <c r="F429" s="3"/>
      <c r="G429" s="3"/>
      <c r="H429" s="3"/>
      <c r="I429" s="5"/>
      <c r="J429" s="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4"/>
      <c r="D430" s="3"/>
      <c r="E430" s="3"/>
      <c r="F430" s="3"/>
      <c r="G430" s="3"/>
      <c r="H430" s="3"/>
      <c r="I430" s="5"/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4"/>
      <c r="D431" s="3"/>
      <c r="E431" s="3"/>
      <c r="F431" s="3"/>
      <c r="G431" s="3"/>
      <c r="H431" s="3"/>
      <c r="I431" s="5"/>
      <c r="J431" s="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4"/>
      <c r="D432" s="3"/>
      <c r="E432" s="3"/>
      <c r="F432" s="3"/>
      <c r="G432" s="3"/>
      <c r="H432" s="3"/>
      <c r="I432" s="5"/>
      <c r="J432" s="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4"/>
      <c r="D433" s="3"/>
      <c r="E433" s="3"/>
      <c r="F433" s="3"/>
      <c r="G433" s="3"/>
      <c r="H433" s="3"/>
      <c r="I433" s="5"/>
      <c r="J433" s="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4"/>
      <c r="D434" s="3"/>
      <c r="E434" s="3"/>
      <c r="F434" s="3"/>
      <c r="G434" s="3"/>
      <c r="H434" s="3"/>
      <c r="I434" s="5"/>
      <c r="J434" s="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4"/>
      <c r="D435" s="3"/>
      <c r="E435" s="3"/>
      <c r="F435" s="3"/>
      <c r="G435" s="3"/>
      <c r="H435" s="3"/>
      <c r="I435" s="5"/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4"/>
      <c r="D436" s="3"/>
      <c r="E436" s="3"/>
      <c r="F436" s="3"/>
      <c r="G436" s="3"/>
      <c r="H436" s="3"/>
      <c r="I436" s="5"/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4"/>
      <c r="D437" s="3"/>
      <c r="E437" s="3"/>
      <c r="F437" s="3"/>
      <c r="G437" s="3"/>
      <c r="H437" s="3"/>
      <c r="I437" s="5"/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4"/>
      <c r="D438" s="3"/>
      <c r="E438" s="3"/>
      <c r="F438" s="3"/>
      <c r="G438" s="3"/>
      <c r="H438" s="3"/>
      <c r="I438" s="5"/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4"/>
      <c r="D439" s="3"/>
      <c r="E439" s="3"/>
      <c r="F439" s="3"/>
      <c r="G439" s="3"/>
      <c r="H439" s="3"/>
      <c r="I439" s="5"/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4"/>
      <c r="D440" s="3"/>
      <c r="E440" s="3"/>
      <c r="F440" s="3"/>
      <c r="G440" s="3"/>
      <c r="H440" s="3"/>
      <c r="I440" s="5"/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4"/>
      <c r="D441" s="3"/>
      <c r="E441" s="3"/>
      <c r="F441" s="3"/>
      <c r="G441" s="3"/>
      <c r="H441" s="3"/>
      <c r="I441" s="5"/>
      <c r="J441" s="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4"/>
      <c r="D442" s="3"/>
      <c r="E442" s="3"/>
      <c r="F442" s="3"/>
      <c r="G442" s="3"/>
      <c r="H442" s="3"/>
      <c r="I442" s="5"/>
      <c r="J442" s="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4"/>
      <c r="D443" s="3"/>
      <c r="E443" s="3"/>
      <c r="F443" s="3"/>
      <c r="G443" s="3"/>
      <c r="H443" s="3"/>
      <c r="I443" s="5"/>
      <c r="J443" s="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4"/>
      <c r="D444" s="3"/>
      <c r="E444" s="3"/>
      <c r="F444" s="3"/>
      <c r="G444" s="3"/>
      <c r="H444" s="3"/>
      <c r="I444" s="5"/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4"/>
      <c r="D445" s="3"/>
      <c r="E445" s="3"/>
      <c r="F445" s="3"/>
      <c r="G445" s="3"/>
      <c r="H445" s="3"/>
      <c r="I445" s="5"/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4"/>
      <c r="D446" s="3"/>
      <c r="E446" s="3"/>
      <c r="F446" s="3"/>
      <c r="G446" s="3"/>
      <c r="H446" s="3"/>
      <c r="I446" s="5"/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4"/>
      <c r="D447" s="3"/>
      <c r="E447" s="3"/>
      <c r="F447" s="3"/>
      <c r="G447" s="3"/>
      <c r="H447" s="3"/>
      <c r="I447" s="5"/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4"/>
      <c r="D448" s="3"/>
      <c r="E448" s="3"/>
      <c r="F448" s="3"/>
      <c r="G448" s="3"/>
      <c r="H448" s="3"/>
      <c r="I448" s="5"/>
      <c r="J448" s="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4"/>
      <c r="D449" s="3"/>
      <c r="E449" s="3"/>
      <c r="F449" s="3"/>
      <c r="G449" s="3"/>
      <c r="H449" s="3"/>
      <c r="I449" s="5"/>
      <c r="J449" s="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4"/>
      <c r="D450" s="3"/>
      <c r="E450" s="3"/>
      <c r="F450" s="3"/>
      <c r="G450" s="3"/>
      <c r="H450" s="3"/>
      <c r="I450" s="5"/>
      <c r="J450" s="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4"/>
      <c r="D451" s="3"/>
      <c r="E451" s="3"/>
      <c r="F451" s="3"/>
      <c r="G451" s="3"/>
      <c r="H451" s="3"/>
      <c r="I451" s="5"/>
      <c r="J451" s="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4"/>
      <c r="D452" s="3"/>
      <c r="E452" s="3"/>
      <c r="F452" s="3"/>
      <c r="G452" s="3"/>
      <c r="H452" s="3"/>
      <c r="I452" s="5"/>
      <c r="J452" s="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4"/>
      <c r="D453" s="3"/>
      <c r="E453" s="3"/>
      <c r="F453" s="3"/>
      <c r="G453" s="3"/>
      <c r="H453" s="3"/>
      <c r="I453" s="5"/>
      <c r="J453" s="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4"/>
      <c r="D454" s="3"/>
      <c r="E454" s="3"/>
      <c r="F454" s="3"/>
      <c r="G454" s="3"/>
      <c r="H454" s="3"/>
      <c r="I454" s="5"/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4"/>
      <c r="D455" s="3"/>
      <c r="E455" s="3"/>
      <c r="F455" s="3"/>
      <c r="G455" s="3"/>
      <c r="H455" s="3"/>
      <c r="I455" s="5"/>
      <c r="J455" s="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4"/>
      <c r="D456" s="3"/>
      <c r="E456" s="3"/>
      <c r="F456" s="3"/>
      <c r="G456" s="3"/>
      <c r="H456" s="3"/>
      <c r="I456" s="5"/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4"/>
      <c r="D457" s="3"/>
      <c r="E457" s="3"/>
      <c r="F457" s="3"/>
      <c r="G457" s="3"/>
      <c r="H457" s="3"/>
      <c r="I457" s="5"/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4"/>
      <c r="D458" s="3"/>
      <c r="E458" s="3"/>
      <c r="F458" s="3"/>
      <c r="G458" s="3"/>
      <c r="H458" s="3"/>
      <c r="I458" s="5"/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4"/>
      <c r="D459" s="3"/>
      <c r="E459" s="3"/>
      <c r="F459" s="3"/>
      <c r="G459" s="3"/>
      <c r="H459" s="3"/>
      <c r="I459" s="5"/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4"/>
      <c r="D460" s="3"/>
      <c r="E460" s="3"/>
      <c r="F460" s="3"/>
      <c r="G460" s="3"/>
      <c r="H460" s="3"/>
      <c r="I460" s="5"/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4"/>
      <c r="D461" s="3"/>
      <c r="E461" s="3"/>
      <c r="F461" s="3"/>
      <c r="G461" s="3"/>
      <c r="H461" s="3"/>
      <c r="I461" s="5"/>
      <c r="J461" s="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4"/>
      <c r="D462" s="3"/>
      <c r="E462" s="3"/>
      <c r="F462" s="3"/>
      <c r="G462" s="3"/>
      <c r="H462" s="3"/>
      <c r="I462" s="5"/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4"/>
      <c r="D463" s="3"/>
      <c r="E463" s="3"/>
      <c r="F463" s="3"/>
      <c r="G463" s="3"/>
      <c r="H463" s="3"/>
      <c r="I463" s="5"/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4"/>
      <c r="D464" s="3"/>
      <c r="E464" s="3"/>
      <c r="F464" s="3"/>
      <c r="G464" s="3"/>
      <c r="H464" s="3"/>
      <c r="I464" s="5"/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4"/>
      <c r="D465" s="3"/>
      <c r="E465" s="3"/>
      <c r="F465" s="3"/>
      <c r="G465" s="3"/>
      <c r="H465" s="3"/>
      <c r="I465" s="5"/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4"/>
      <c r="D466" s="3"/>
      <c r="E466" s="3"/>
      <c r="F466" s="3"/>
      <c r="G466" s="3"/>
      <c r="H466" s="3"/>
      <c r="I466" s="5"/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4"/>
      <c r="D467" s="3"/>
      <c r="E467" s="3"/>
      <c r="F467" s="3"/>
      <c r="G467" s="3"/>
      <c r="H467" s="3"/>
      <c r="I467" s="5"/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4"/>
      <c r="D468" s="3"/>
      <c r="E468" s="3"/>
      <c r="F468" s="3"/>
      <c r="G468" s="3"/>
      <c r="H468" s="3"/>
      <c r="I468" s="5"/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4"/>
      <c r="D469" s="3"/>
      <c r="E469" s="3"/>
      <c r="F469" s="3"/>
      <c r="G469" s="3"/>
      <c r="H469" s="3"/>
      <c r="I469" s="5"/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4"/>
      <c r="D470" s="3"/>
      <c r="E470" s="3"/>
      <c r="F470" s="3"/>
      <c r="G470" s="3"/>
      <c r="H470" s="3"/>
      <c r="I470" s="5"/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4"/>
      <c r="D471" s="3"/>
      <c r="E471" s="3"/>
      <c r="F471" s="3"/>
      <c r="G471" s="3"/>
      <c r="H471" s="3"/>
      <c r="I471" s="5"/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4"/>
      <c r="D472" s="3"/>
      <c r="E472" s="3"/>
      <c r="F472" s="3"/>
      <c r="G472" s="3"/>
      <c r="H472" s="3"/>
      <c r="I472" s="5"/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4"/>
      <c r="D473" s="3"/>
      <c r="E473" s="3"/>
      <c r="F473" s="3"/>
      <c r="G473" s="3"/>
      <c r="H473" s="3"/>
      <c r="I473" s="5"/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4"/>
      <c r="D474" s="3"/>
      <c r="E474" s="3"/>
      <c r="F474" s="3"/>
      <c r="G474" s="3"/>
      <c r="H474" s="3"/>
      <c r="I474" s="5"/>
      <c r="J474" s="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4"/>
      <c r="D475" s="3"/>
      <c r="E475" s="3"/>
      <c r="F475" s="3"/>
      <c r="G475" s="3"/>
      <c r="H475" s="3"/>
      <c r="I475" s="5"/>
      <c r="J475" s="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4"/>
      <c r="D476" s="3"/>
      <c r="E476" s="3"/>
      <c r="F476" s="3"/>
      <c r="G476" s="3"/>
      <c r="H476" s="3"/>
      <c r="I476" s="5"/>
      <c r="J476" s="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4"/>
      <c r="D477" s="3"/>
      <c r="E477" s="3"/>
      <c r="F477" s="3"/>
      <c r="G477" s="3"/>
      <c r="H477" s="3"/>
      <c r="I477" s="5"/>
      <c r="J477" s="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4"/>
      <c r="D478" s="3"/>
      <c r="E478" s="3"/>
      <c r="F478" s="3"/>
      <c r="G478" s="3"/>
      <c r="H478" s="3"/>
      <c r="I478" s="5"/>
      <c r="J478" s="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4"/>
      <c r="D479" s="3"/>
      <c r="E479" s="3"/>
      <c r="F479" s="3"/>
      <c r="G479" s="3"/>
      <c r="H479" s="3"/>
      <c r="I479" s="5"/>
      <c r="J479" s="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4"/>
      <c r="D480" s="3"/>
      <c r="E480" s="3"/>
      <c r="F480" s="3"/>
      <c r="G480" s="3"/>
      <c r="H480" s="3"/>
      <c r="I480" s="5"/>
      <c r="J480" s="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4"/>
      <c r="D481" s="3"/>
      <c r="E481" s="3"/>
      <c r="F481" s="3"/>
      <c r="G481" s="3"/>
      <c r="H481" s="3"/>
      <c r="I481" s="5"/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4"/>
      <c r="D482" s="3"/>
      <c r="E482" s="3"/>
      <c r="F482" s="3"/>
      <c r="G482" s="3"/>
      <c r="H482" s="3"/>
      <c r="I482" s="5"/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4"/>
      <c r="D483" s="3"/>
      <c r="E483" s="3"/>
      <c r="F483" s="3"/>
      <c r="G483" s="3"/>
      <c r="H483" s="3"/>
      <c r="I483" s="5"/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4"/>
      <c r="D484" s="3"/>
      <c r="E484" s="3"/>
      <c r="F484" s="3"/>
      <c r="G484" s="3"/>
      <c r="H484" s="3"/>
      <c r="I484" s="5"/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4"/>
      <c r="D485" s="3"/>
      <c r="E485" s="3"/>
      <c r="F485" s="3"/>
      <c r="G485" s="3"/>
      <c r="H485" s="3"/>
      <c r="I485" s="5"/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4"/>
      <c r="D486" s="3"/>
      <c r="E486" s="3"/>
      <c r="F486" s="3"/>
      <c r="G486" s="3"/>
      <c r="H486" s="3"/>
      <c r="I486" s="5"/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4"/>
      <c r="D487" s="3"/>
      <c r="E487" s="3"/>
      <c r="F487" s="3"/>
      <c r="G487" s="3"/>
      <c r="H487" s="3"/>
      <c r="I487" s="5"/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4"/>
      <c r="D488" s="3"/>
      <c r="E488" s="3"/>
      <c r="F488" s="3"/>
      <c r="G488" s="3"/>
      <c r="H488" s="3"/>
      <c r="I488" s="5"/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4"/>
      <c r="D489" s="3"/>
      <c r="E489" s="3"/>
      <c r="F489" s="3"/>
      <c r="G489" s="3"/>
      <c r="H489" s="3"/>
      <c r="I489" s="5"/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4"/>
      <c r="D490" s="3"/>
      <c r="E490" s="3"/>
      <c r="F490" s="3"/>
      <c r="G490" s="3"/>
      <c r="H490" s="3"/>
      <c r="I490" s="5"/>
      <c r="J490" s="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4"/>
      <c r="D491" s="3"/>
      <c r="E491" s="3"/>
      <c r="F491" s="3"/>
      <c r="G491" s="3"/>
      <c r="H491" s="3"/>
      <c r="I491" s="5"/>
      <c r="J491" s="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4"/>
      <c r="D492" s="3"/>
      <c r="E492" s="3"/>
      <c r="F492" s="3"/>
      <c r="G492" s="3"/>
      <c r="H492" s="3"/>
      <c r="I492" s="5"/>
      <c r="J492" s="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4"/>
      <c r="D493" s="3"/>
      <c r="E493" s="3"/>
      <c r="F493" s="3"/>
      <c r="G493" s="3"/>
      <c r="H493" s="3"/>
      <c r="I493" s="5"/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4"/>
      <c r="D494" s="3"/>
      <c r="E494" s="3"/>
      <c r="F494" s="3"/>
      <c r="G494" s="3"/>
      <c r="H494" s="3"/>
      <c r="I494" s="5"/>
      <c r="J494" s="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4"/>
      <c r="D495" s="3"/>
      <c r="E495" s="3"/>
      <c r="F495" s="3"/>
      <c r="G495" s="3"/>
      <c r="H495" s="3"/>
      <c r="I495" s="5"/>
      <c r="J495" s="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4"/>
      <c r="D496" s="3"/>
      <c r="E496" s="3"/>
      <c r="F496" s="3"/>
      <c r="G496" s="3"/>
      <c r="H496" s="3"/>
      <c r="I496" s="5"/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4"/>
      <c r="D497" s="3"/>
      <c r="E497" s="3"/>
      <c r="F497" s="3"/>
      <c r="G497" s="3"/>
      <c r="H497" s="3"/>
      <c r="I497" s="5"/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4"/>
      <c r="D498" s="3"/>
      <c r="E498" s="3"/>
      <c r="F498" s="3"/>
      <c r="G498" s="3"/>
      <c r="H498" s="3"/>
      <c r="I498" s="5"/>
      <c r="J498" s="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4"/>
      <c r="D499" s="3"/>
      <c r="E499" s="3"/>
      <c r="F499" s="3"/>
      <c r="G499" s="3"/>
      <c r="H499" s="3"/>
      <c r="I499" s="5"/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4"/>
      <c r="D500" s="3"/>
      <c r="E500" s="3"/>
      <c r="F500" s="3"/>
      <c r="G500" s="3"/>
      <c r="H500" s="3"/>
      <c r="I500" s="5"/>
      <c r="J500" s="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4"/>
      <c r="D501" s="3"/>
      <c r="E501" s="3"/>
      <c r="F501" s="3"/>
      <c r="G501" s="3"/>
      <c r="H501" s="3"/>
      <c r="I501" s="5"/>
      <c r="J501" s="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4"/>
      <c r="D502" s="3"/>
      <c r="E502" s="3"/>
      <c r="F502" s="3"/>
      <c r="G502" s="3"/>
      <c r="H502" s="3"/>
      <c r="I502" s="5"/>
      <c r="J502" s="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4"/>
      <c r="D503" s="3"/>
      <c r="E503" s="3"/>
      <c r="F503" s="3"/>
      <c r="G503" s="3"/>
      <c r="H503" s="3"/>
      <c r="I503" s="5"/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4"/>
      <c r="D504" s="3"/>
      <c r="E504" s="3"/>
      <c r="F504" s="3"/>
      <c r="G504" s="3"/>
      <c r="H504" s="3"/>
      <c r="I504" s="5"/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4"/>
      <c r="D505" s="3"/>
      <c r="E505" s="3"/>
      <c r="F505" s="3"/>
      <c r="G505" s="3"/>
      <c r="H505" s="3"/>
      <c r="I505" s="5"/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4"/>
      <c r="D506" s="3"/>
      <c r="E506" s="3"/>
      <c r="F506" s="3"/>
      <c r="G506" s="3"/>
      <c r="H506" s="3"/>
      <c r="I506" s="5"/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4"/>
      <c r="D507" s="3"/>
      <c r="E507" s="3"/>
      <c r="F507" s="3"/>
      <c r="G507" s="3"/>
      <c r="H507" s="3"/>
      <c r="I507" s="5"/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4"/>
      <c r="D508" s="3"/>
      <c r="E508" s="3"/>
      <c r="F508" s="3"/>
      <c r="G508" s="3"/>
      <c r="H508" s="3"/>
      <c r="I508" s="5"/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4"/>
      <c r="D509" s="3"/>
      <c r="E509" s="3"/>
      <c r="F509" s="3"/>
      <c r="G509" s="3"/>
      <c r="H509" s="3"/>
      <c r="I509" s="5"/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4"/>
      <c r="D510" s="3"/>
      <c r="E510" s="3"/>
      <c r="F510" s="3"/>
      <c r="G510" s="3"/>
      <c r="H510" s="3"/>
      <c r="I510" s="5"/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4"/>
      <c r="D511" s="3"/>
      <c r="E511" s="3"/>
      <c r="F511" s="3"/>
      <c r="G511" s="3"/>
      <c r="H511" s="3"/>
      <c r="I511" s="5"/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4"/>
      <c r="D512" s="3"/>
      <c r="E512" s="3"/>
      <c r="F512" s="3"/>
      <c r="G512" s="3"/>
      <c r="H512" s="3"/>
      <c r="I512" s="5"/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4"/>
      <c r="D513" s="3"/>
      <c r="E513" s="3"/>
      <c r="F513" s="3"/>
      <c r="G513" s="3"/>
      <c r="H513" s="3"/>
      <c r="I513" s="5"/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4"/>
      <c r="D514" s="3"/>
      <c r="E514" s="3"/>
      <c r="F514" s="3"/>
      <c r="G514" s="3"/>
      <c r="H514" s="3"/>
      <c r="I514" s="5"/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4"/>
      <c r="D515" s="3"/>
      <c r="E515" s="3"/>
      <c r="F515" s="3"/>
      <c r="G515" s="3"/>
      <c r="H515" s="3"/>
      <c r="I515" s="5"/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4"/>
      <c r="D516" s="3"/>
      <c r="E516" s="3"/>
      <c r="F516" s="3"/>
      <c r="G516" s="3"/>
      <c r="H516" s="3"/>
      <c r="I516" s="5"/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4"/>
      <c r="D517" s="3"/>
      <c r="E517" s="3"/>
      <c r="F517" s="3"/>
      <c r="G517" s="3"/>
      <c r="H517" s="3"/>
      <c r="I517" s="5"/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4"/>
      <c r="D518" s="3"/>
      <c r="E518" s="3"/>
      <c r="F518" s="3"/>
      <c r="G518" s="3"/>
      <c r="H518" s="3"/>
      <c r="I518" s="5"/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4"/>
      <c r="D519" s="3"/>
      <c r="E519" s="3"/>
      <c r="F519" s="3"/>
      <c r="G519" s="3"/>
      <c r="H519" s="3"/>
      <c r="I519" s="5"/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4"/>
      <c r="D520" s="3"/>
      <c r="E520" s="3"/>
      <c r="F520" s="3"/>
      <c r="G520" s="3"/>
      <c r="H520" s="3"/>
      <c r="I520" s="5"/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4"/>
      <c r="D521" s="3"/>
      <c r="E521" s="3"/>
      <c r="F521" s="3"/>
      <c r="G521" s="3"/>
      <c r="H521" s="3"/>
      <c r="I521" s="5"/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4"/>
      <c r="D522" s="3"/>
      <c r="E522" s="3"/>
      <c r="F522" s="3"/>
      <c r="G522" s="3"/>
      <c r="H522" s="3"/>
      <c r="I522" s="5"/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4"/>
      <c r="D523" s="3"/>
      <c r="E523" s="3"/>
      <c r="F523" s="3"/>
      <c r="G523" s="3"/>
      <c r="H523" s="3"/>
      <c r="I523" s="5"/>
      <c r="J523" s="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4"/>
      <c r="D524" s="3"/>
      <c r="E524" s="3"/>
      <c r="F524" s="3"/>
      <c r="G524" s="3"/>
      <c r="H524" s="3"/>
      <c r="I524" s="5"/>
      <c r="J524" s="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4"/>
      <c r="D525" s="3"/>
      <c r="E525" s="3"/>
      <c r="F525" s="3"/>
      <c r="G525" s="3"/>
      <c r="H525" s="3"/>
      <c r="I525" s="5"/>
      <c r="J525" s="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4"/>
      <c r="D526" s="3"/>
      <c r="E526" s="3"/>
      <c r="F526" s="3"/>
      <c r="G526" s="3"/>
      <c r="H526" s="3"/>
      <c r="I526" s="5"/>
      <c r="J526" s="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4"/>
      <c r="D527" s="3"/>
      <c r="E527" s="3"/>
      <c r="F527" s="3"/>
      <c r="G527" s="3"/>
      <c r="H527" s="3"/>
      <c r="I527" s="5"/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4"/>
      <c r="D528" s="3"/>
      <c r="E528" s="3"/>
      <c r="F528" s="3"/>
      <c r="G528" s="3"/>
      <c r="H528" s="3"/>
      <c r="I528" s="5"/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4"/>
      <c r="D529" s="3"/>
      <c r="E529" s="3"/>
      <c r="F529" s="3"/>
      <c r="G529" s="3"/>
      <c r="H529" s="3"/>
      <c r="I529" s="5"/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4"/>
      <c r="D530" s="3"/>
      <c r="E530" s="3"/>
      <c r="F530" s="3"/>
      <c r="G530" s="3"/>
      <c r="H530" s="3"/>
      <c r="I530" s="5"/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4"/>
      <c r="D531" s="3"/>
      <c r="E531" s="3"/>
      <c r="F531" s="3"/>
      <c r="G531" s="3"/>
      <c r="H531" s="3"/>
      <c r="I531" s="5"/>
      <c r="J531" s="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4"/>
      <c r="D532" s="3"/>
      <c r="E532" s="3"/>
      <c r="F532" s="3"/>
      <c r="G532" s="3"/>
      <c r="H532" s="3"/>
      <c r="I532" s="5"/>
      <c r="J532" s="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4"/>
      <c r="D533" s="3"/>
      <c r="E533" s="3"/>
      <c r="F533" s="3"/>
      <c r="G533" s="3"/>
      <c r="H533" s="3"/>
      <c r="I533" s="5"/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4"/>
      <c r="D534" s="3"/>
      <c r="E534" s="3"/>
      <c r="F534" s="3"/>
      <c r="G534" s="3"/>
      <c r="H534" s="3"/>
      <c r="I534" s="5"/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4"/>
      <c r="D535" s="3"/>
      <c r="E535" s="3"/>
      <c r="F535" s="3"/>
      <c r="G535" s="3"/>
      <c r="H535" s="3"/>
      <c r="I535" s="5"/>
      <c r="J535" s="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4"/>
      <c r="D536" s="3"/>
      <c r="E536" s="3"/>
      <c r="F536" s="3"/>
      <c r="G536" s="3"/>
      <c r="H536" s="3"/>
      <c r="I536" s="5"/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4"/>
      <c r="D537" s="3"/>
      <c r="E537" s="3"/>
      <c r="F537" s="3"/>
      <c r="G537" s="3"/>
      <c r="H537" s="3"/>
      <c r="I537" s="5"/>
      <c r="J537" s="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4"/>
      <c r="D538" s="3"/>
      <c r="E538" s="3"/>
      <c r="F538" s="3"/>
      <c r="G538" s="3"/>
      <c r="H538" s="3"/>
      <c r="I538" s="5"/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4"/>
      <c r="D539" s="3"/>
      <c r="E539" s="3"/>
      <c r="F539" s="3"/>
      <c r="G539" s="3"/>
      <c r="H539" s="3"/>
      <c r="I539" s="5"/>
      <c r="J539" s="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4"/>
      <c r="D540" s="3"/>
      <c r="E540" s="3"/>
      <c r="F540" s="3"/>
      <c r="G540" s="3"/>
      <c r="H540" s="3"/>
      <c r="I540" s="5"/>
      <c r="J540" s="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4"/>
      <c r="D541" s="3"/>
      <c r="E541" s="3"/>
      <c r="F541" s="3"/>
      <c r="G541" s="3"/>
      <c r="H541" s="3"/>
      <c r="I541" s="5"/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4"/>
      <c r="D542" s="3"/>
      <c r="E542" s="3"/>
      <c r="F542" s="3"/>
      <c r="G542" s="3"/>
      <c r="H542" s="3"/>
      <c r="I542" s="5"/>
      <c r="J542" s="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4"/>
      <c r="D543" s="3"/>
      <c r="E543" s="3"/>
      <c r="F543" s="3"/>
      <c r="G543" s="3"/>
      <c r="H543" s="3"/>
      <c r="I543" s="5"/>
      <c r="J543" s="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4"/>
      <c r="D544" s="3"/>
      <c r="E544" s="3"/>
      <c r="F544" s="3"/>
      <c r="G544" s="3"/>
      <c r="H544" s="3"/>
      <c r="I544" s="5"/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4"/>
      <c r="D545" s="3"/>
      <c r="E545" s="3"/>
      <c r="F545" s="3"/>
      <c r="G545" s="3"/>
      <c r="H545" s="3"/>
      <c r="I545" s="5"/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4"/>
      <c r="D546" s="3"/>
      <c r="E546" s="3"/>
      <c r="F546" s="3"/>
      <c r="G546" s="3"/>
      <c r="H546" s="3"/>
      <c r="I546" s="5"/>
      <c r="J546" s="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4"/>
      <c r="D547" s="3"/>
      <c r="E547" s="3"/>
      <c r="F547" s="3"/>
      <c r="G547" s="3"/>
      <c r="H547" s="3"/>
      <c r="I547" s="5"/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4"/>
      <c r="D548" s="3"/>
      <c r="E548" s="3"/>
      <c r="F548" s="3"/>
      <c r="G548" s="3"/>
      <c r="H548" s="3"/>
      <c r="I548" s="5"/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4"/>
      <c r="D549" s="3"/>
      <c r="E549" s="3"/>
      <c r="F549" s="3"/>
      <c r="G549" s="3"/>
      <c r="H549" s="3"/>
      <c r="I549" s="5"/>
      <c r="J549" s="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4"/>
      <c r="D550" s="3"/>
      <c r="E550" s="3"/>
      <c r="F550" s="3"/>
      <c r="G550" s="3"/>
      <c r="H550" s="3"/>
      <c r="I550" s="5"/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4"/>
      <c r="D551" s="3"/>
      <c r="E551" s="3"/>
      <c r="F551" s="3"/>
      <c r="G551" s="3"/>
      <c r="H551" s="3"/>
      <c r="I551" s="5"/>
      <c r="J551" s="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4"/>
      <c r="D552" s="3"/>
      <c r="E552" s="3"/>
      <c r="F552" s="3"/>
      <c r="G552" s="3"/>
      <c r="H552" s="3"/>
      <c r="I552" s="5"/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4"/>
      <c r="D553" s="3"/>
      <c r="E553" s="3"/>
      <c r="F553" s="3"/>
      <c r="G553" s="3"/>
      <c r="H553" s="3"/>
      <c r="I553" s="5"/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4"/>
      <c r="D554" s="3"/>
      <c r="E554" s="3"/>
      <c r="F554" s="3"/>
      <c r="G554" s="3"/>
      <c r="H554" s="3"/>
      <c r="I554" s="5"/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4"/>
      <c r="D555" s="3"/>
      <c r="E555" s="3"/>
      <c r="F555" s="3"/>
      <c r="G555" s="3"/>
      <c r="H555" s="3"/>
      <c r="I555" s="5"/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4"/>
      <c r="D556" s="3"/>
      <c r="E556" s="3"/>
      <c r="F556" s="3"/>
      <c r="G556" s="3"/>
      <c r="H556" s="3"/>
      <c r="I556" s="5"/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4"/>
      <c r="D557" s="3"/>
      <c r="E557" s="3"/>
      <c r="F557" s="3"/>
      <c r="G557" s="3"/>
      <c r="H557" s="3"/>
      <c r="I557" s="5"/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4"/>
      <c r="D558" s="3"/>
      <c r="E558" s="3"/>
      <c r="F558" s="3"/>
      <c r="G558" s="3"/>
      <c r="H558" s="3"/>
      <c r="I558" s="5"/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4"/>
      <c r="D559" s="3"/>
      <c r="E559" s="3"/>
      <c r="F559" s="3"/>
      <c r="G559" s="3"/>
      <c r="H559" s="3"/>
      <c r="I559" s="5"/>
      <c r="J559" s="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4"/>
      <c r="D560" s="3"/>
      <c r="E560" s="3"/>
      <c r="F560" s="3"/>
      <c r="G560" s="3"/>
      <c r="H560" s="3"/>
      <c r="I560" s="5"/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4"/>
      <c r="D561" s="3"/>
      <c r="E561" s="3"/>
      <c r="F561" s="3"/>
      <c r="G561" s="3"/>
      <c r="H561" s="3"/>
      <c r="I561" s="5"/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4"/>
      <c r="D562" s="3"/>
      <c r="E562" s="3"/>
      <c r="F562" s="3"/>
      <c r="G562" s="3"/>
      <c r="H562" s="3"/>
      <c r="I562" s="5"/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4"/>
      <c r="D563" s="3"/>
      <c r="E563" s="3"/>
      <c r="F563" s="3"/>
      <c r="G563" s="3"/>
      <c r="H563" s="3"/>
      <c r="I563" s="5"/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4"/>
      <c r="D564" s="3"/>
      <c r="E564" s="3"/>
      <c r="F564" s="3"/>
      <c r="G564" s="3"/>
      <c r="H564" s="3"/>
      <c r="I564" s="5"/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4"/>
      <c r="D565" s="3"/>
      <c r="E565" s="3"/>
      <c r="F565" s="3"/>
      <c r="G565" s="3"/>
      <c r="H565" s="3"/>
      <c r="I565" s="5"/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4"/>
      <c r="D566" s="3"/>
      <c r="E566" s="3"/>
      <c r="F566" s="3"/>
      <c r="G566" s="3"/>
      <c r="H566" s="3"/>
      <c r="I566" s="5"/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4"/>
      <c r="D567" s="3"/>
      <c r="E567" s="3"/>
      <c r="F567" s="3"/>
      <c r="G567" s="3"/>
      <c r="H567" s="3"/>
      <c r="I567" s="5"/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4"/>
      <c r="D568" s="3"/>
      <c r="E568" s="3"/>
      <c r="F568" s="3"/>
      <c r="G568" s="3"/>
      <c r="H568" s="3"/>
      <c r="I568" s="5"/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4"/>
      <c r="D569" s="3"/>
      <c r="E569" s="3"/>
      <c r="F569" s="3"/>
      <c r="G569" s="3"/>
      <c r="H569" s="3"/>
      <c r="I569" s="5"/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4"/>
      <c r="D570" s="3"/>
      <c r="E570" s="3"/>
      <c r="F570" s="3"/>
      <c r="G570" s="3"/>
      <c r="H570" s="3"/>
      <c r="I570" s="5"/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4"/>
      <c r="D571" s="3"/>
      <c r="E571" s="3"/>
      <c r="F571" s="3"/>
      <c r="G571" s="3"/>
      <c r="H571" s="3"/>
      <c r="I571" s="5"/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4"/>
      <c r="D572" s="3"/>
      <c r="E572" s="3"/>
      <c r="F572" s="3"/>
      <c r="G572" s="3"/>
      <c r="H572" s="3"/>
      <c r="I572" s="5"/>
      <c r="J572" s="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4"/>
      <c r="D573" s="3"/>
      <c r="E573" s="3"/>
      <c r="F573" s="3"/>
      <c r="G573" s="3"/>
      <c r="H573" s="3"/>
      <c r="I573" s="5"/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4"/>
      <c r="D574" s="3"/>
      <c r="E574" s="3"/>
      <c r="F574" s="3"/>
      <c r="G574" s="3"/>
      <c r="H574" s="3"/>
      <c r="I574" s="5"/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4"/>
      <c r="D575" s="3"/>
      <c r="E575" s="3"/>
      <c r="F575" s="3"/>
      <c r="G575" s="3"/>
      <c r="H575" s="3"/>
      <c r="I575" s="5"/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4"/>
      <c r="D576" s="3"/>
      <c r="E576" s="3"/>
      <c r="F576" s="3"/>
      <c r="G576" s="3"/>
      <c r="H576" s="3"/>
      <c r="I576" s="5"/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4"/>
      <c r="D577" s="3"/>
      <c r="E577" s="3"/>
      <c r="F577" s="3"/>
      <c r="G577" s="3"/>
      <c r="H577" s="3"/>
      <c r="I577" s="5"/>
      <c r="J577" s="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4"/>
      <c r="D578" s="3"/>
      <c r="E578" s="3"/>
      <c r="F578" s="3"/>
      <c r="G578" s="3"/>
      <c r="H578" s="3"/>
      <c r="I578" s="5"/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4"/>
      <c r="D579" s="3"/>
      <c r="E579" s="3"/>
      <c r="F579" s="3"/>
      <c r="G579" s="3"/>
      <c r="H579" s="3"/>
      <c r="I579" s="5"/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4"/>
      <c r="D580" s="3"/>
      <c r="E580" s="3"/>
      <c r="F580" s="3"/>
      <c r="G580" s="3"/>
      <c r="H580" s="3"/>
      <c r="I580" s="5"/>
      <c r="J580" s="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4"/>
      <c r="D581" s="3"/>
      <c r="E581" s="3"/>
      <c r="F581" s="3"/>
      <c r="G581" s="3"/>
      <c r="H581" s="3"/>
      <c r="I581" s="5"/>
      <c r="J581" s="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4"/>
      <c r="D582" s="3"/>
      <c r="E582" s="3"/>
      <c r="F582" s="3"/>
      <c r="G582" s="3"/>
      <c r="H582" s="3"/>
      <c r="I582" s="5"/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4"/>
      <c r="D583" s="3"/>
      <c r="E583" s="3"/>
      <c r="F583" s="3"/>
      <c r="G583" s="3"/>
      <c r="H583" s="3"/>
      <c r="I583" s="5"/>
      <c r="J583" s="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4"/>
      <c r="D584" s="3"/>
      <c r="E584" s="3"/>
      <c r="F584" s="3"/>
      <c r="G584" s="3"/>
      <c r="H584" s="3"/>
      <c r="I584" s="5"/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4"/>
      <c r="D585" s="3"/>
      <c r="E585" s="3"/>
      <c r="F585" s="3"/>
      <c r="G585" s="3"/>
      <c r="H585" s="3"/>
      <c r="I585" s="5"/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4"/>
      <c r="D586" s="3"/>
      <c r="E586" s="3"/>
      <c r="F586" s="3"/>
      <c r="G586" s="3"/>
      <c r="H586" s="3"/>
      <c r="I586" s="5"/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4"/>
      <c r="D587" s="3"/>
      <c r="E587" s="3"/>
      <c r="F587" s="3"/>
      <c r="G587" s="3"/>
      <c r="H587" s="3"/>
      <c r="I587" s="5"/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4"/>
      <c r="D588" s="3"/>
      <c r="E588" s="3"/>
      <c r="F588" s="3"/>
      <c r="G588" s="3"/>
      <c r="H588" s="3"/>
      <c r="I588" s="5"/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4"/>
      <c r="D589" s="3"/>
      <c r="E589" s="3"/>
      <c r="F589" s="3"/>
      <c r="G589" s="3"/>
      <c r="H589" s="3"/>
      <c r="I589" s="5"/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4"/>
      <c r="D590" s="3"/>
      <c r="E590" s="3"/>
      <c r="F590" s="3"/>
      <c r="G590" s="3"/>
      <c r="H590" s="3"/>
      <c r="I590" s="5"/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4"/>
      <c r="D591" s="3"/>
      <c r="E591" s="3"/>
      <c r="F591" s="3"/>
      <c r="G591" s="3"/>
      <c r="H591" s="3"/>
      <c r="I591" s="5"/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4"/>
      <c r="D592" s="3"/>
      <c r="E592" s="3"/>
      <c r="F592" s="3"/>
      <c r="G592" s="3"/>
      <c r="H592" s="3"/>
      <c r="I592" s="5"/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4"/>
      <c r="D593" s="3"/>
      <c r="E593" s="3"/>
      <c r="F593" s="3"/>
      <c r="G593" s="3"/>
      <c r="H593" s="3"/>
      <c r="I593" s="5"/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4"/>
      <c r="D594" s="3"/>
      <c r="E594" s="3"/>
      <c r="F594" s="3"/>
      <c r="G594" s="3"/>
      <c r="H594" s="3"/>
      <c r="I594" s="5"/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4"/>
      <c r="D595" s="3"/>
      <c r="E595" s="3"/>
      <c r="F595" s="3"/>
      <c r="G595" s="3"/>
      <c r="H595" s="3"/>
      <c r="I595" s="5"/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4"/>
      <c r="D596" s="3"/>
      <c r="E596" s="3"/>
      <c r="F596" s="3"/>
      <c r="G596" s="3"/>
      <c r="H596" s="3"/>
      <c r="I596" s="5"/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4"/>
      <c r="D597" s="3"/>
      <c r="E597" s="3"/>
      <c r="F597" s="3"/>
      <c r="G597" s="3"/>
      <c r="H597" s="3"/>
      <c r="I597" s="5"/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4"/>
      <c r="D598" s="3"/>
      <c r="E598" s="3"/>
      <c r="F598" s="3"/>
      <c r="G598" s="3"/>
      <c r="H598" s="3"/>
      <c r="I598" s="5"/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4"/>
      <c r="D599" s="3"/>
      <c r="E599" s="3"/>
      <c r="F599" s="3"/>
      <c r="G599" s="3"/>
      <c r="H599" s="3"/>
      <c r="I599" s="5"/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4"/>
      <c r="D600" s="3"/>
      <c r="E600" s="3"/>
      <c r="F600" s="3"/>
      <c r="G600" s="3"/>
      <c r="H600" s="3"/>
      <c r="I600" s="5"/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4"/>
      <c r="D601" s="3"/>
      <c r="E601" s="3"/>
      <c r="F601" s="3"/>
      <c r="G601" s="3"/>
      <c r="H601" s="3"/>
      <c r="I601" s="5"/>
      <c r="J601" s="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4"/>
      <c r="D602" s="3"/>
      <c r="E602" s="3"/>
      <c r="F602" s="3"/>
      <c r="G602" s="3"/>
      <c r="H602" s="3"/>
      <c r="I602" s="5"/>
      <c r="J602" s="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4"/>
      <c r="D603" s="3"/>
      <c r="E603" s="3"/>
      <c r="F603" s="3"/>
      <c r="G603" s="3"/>
      <c r="H603" s="3"/>
      <c r="I603" s="5"/>
      <c r="J603" s="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4"/>
      <c r="D604" s="3"/>
      <c r="E604" s="3"/>
      <c r="F604" s="3"/>
      <c r="G604" s="3"/>
      <c r="H604" s="3"/>
      <c r="I604" s="5"/>
      <c r="J604" s="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4"/>
      <c r="D605" s="3"/>
      <c r="E605" s="3"/>
      <c r="F605" s="3"/>
      <c r="G605" s="3"/>
      <c r="H605" s="3"/>
      <c r="I605" s="5"/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4"/>
      <c r="D606" s="3"/>
      <c r="E606" s="3"/>
      <c r="F606" s="3"/>
      <c r="G606" s="3"/>
      <c r="H606" s="3"/>
      <c r="I606" s="5"/>
      <c r="J606" s="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4"/>
      <c r="D607" s="3"/>
      <c r="E607" s="3"/>
      <c r="F607" s="3"/>
      <c r="G607" s="3"/>
      <c r="H607" s="3"/>
      <c r="I607" s="5"/>
      <c r="J607" s="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4"/>
      <c r="D608" s="3"/>
      <c r="E608" s="3"/>
      <c r="F608" s="3"/>
      <c r="G608" s="3"/>
      <c r="H608" s="3"/>
      <c r="I608" s="5"/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4"/>
      <c r="D609" s="3"/>
      <c r="E609" s="3"/>
      <c r="F609" s="3"/>
      <c r="G609" s="3"/>
      <c r="H609" s="3"/>
      <c r="I609" s="5"/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4"/>
      <c r="D610" s="3"/>
      <c r="E610" s="3"/>
      <c r="F610" s="3"/>
      <c r="G610" s="3"/>
      <c r="H610" s="3"/>
      <c r="I610" s="5"/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4"/>
      <c r="D611" s="3"/>
      <c r="E611" s="3"/>
      <c r="F611" s="3"/>
      <c r="G611" s="3"/>
      <c r="H611" s="3"/>
      <c r="I611" s="5"/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4"/>
      <c r="D612" s="3"/>
      <c r="E612" s="3"/>
      <c r="F612" s="3"/>
      <c r="G612" s="3"/>
      <c r="H612" s="3"/>
      <c r="I612" s="5"/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4"/>
      <c r="D613" s="3"/>
      <c r="E613" s="3"/>
      <c r="F613" s="3"/>
      <c r="G613" s="3"/>
      <c r="H613" s="3"/>
      <c r="I613" s="5"/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4"/>
      <c r="D614" s="3"/>
      <c r="E614" s="3"/>
      <c r="F614" s="3"/>
      <c r="G614" s="3"/>
      <c r="H614" s="3"/>
      <c r="I614" s="5"/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4"/>
      <c r="D615" s="3"/>
      <c r="E615" s="3"/>
      <c r="F615" s="3"/>
      <c r="G615" s="3"/>
      <c r="H615" s="3"/>
      <c r="I615" s="5"/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4"/>
      <c r="D616" s="3"/>
      <c r="E616" s="3"/>
      <c r="F616" s="3"/>
      <c r="G616" s="3"/>
      <c r="H616" s="3"/>
      <c r="I616" s="5"/>
      <c r="J616" s="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4"/>
      <c r="D617" s="3"/>
      <c r="E617" s="3"/>
      <c r="F617" s="3"/>
      <c r="G617" s="3"/>
      <c r="H617" s="3"/>
      <c r="I617" s="5"/>
      <c r="J617" s="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4"/>
      <c r="D618" s="3"/>
      <c r="E618" s="3"/>
      <c r="F618" s="3"/>
      <c r="G618" s="3"/>
      <c r="H618" s="3"/>
      <c r="I618" s="5"/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4"/>
      <c r="D619" s="3"/>
      <c r="E619" s="3"/>
      <c r="F619" s="3"/>
      <c r="G619" s="3"/>
      <c r="H619" s="3"/>
      <c r="I619" s="5"/>
      <c r="J619" s="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4"/>
      <c r="D620" s="3"/>
      <c r="E620" s="3"/>
      <c r="F620" s="3"/>
      <c r="G620" s="3"/>
      <c r="H620" s="3"/>
      <c r="I620" s="5"/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4"/>
      <c r="D621" s="3"/>
      <c r="E621" s="3"/>
      <c r="F621" s="3"/>
      <c r="G621" s="3"/>
      <c r="H621" s="3"/>
      <c r="I621" s="5"/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4"/>
      <c r="D622" s="3"/>
      <c r="E622" s="3"/>
      <c r="F622" s="3"/>
      <c r="G622" s="3"/>
      <c r="H622" s="3"/>
      <c r="I622" s="5"/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4"/>
      <c r="D623" s="3"/>
      <c r="E623" s="3"/>
      <c r="F623" s="3"/>
      <c r="G623" s="3"/>
      <c r="H623" s="3"/>
      <c r="I623" s="5"/>
      <c r="J623" s="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4"/>
      <c r="D624" s="3"/>
      <c r="E624" s="3"/>
      <c r="F624" s="3"/>
      <c r="G624" s="3"/>
      <c r="H624" s="3"/>
      <c r="I624" s="5"/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4"/>
      <c r="D625" s="3"/>
      <c r="E625" s="3"/>
      <c r="F625" s="3"/>
      <c r="G625" s="3"/>
      <c r="H625" s="3"/>
      <c r="I625" s="5"/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4"/>
      <c r="D626" s="3"/>
      <c r="E626" s="3"/>
      <c r="F626" s="3"/>
      <c r="G626" s="3"/>
      <c r="H626" s="3"/>
      <c r="I626" s="5"/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4"/>
      <c r="D627" s="3"/>
      <c r="E627" s="3"/>
      <c r="F627" s="3"/>
      <c r="G627" s="3"/>
      <c r="H627" s="3"/>
      <c r="I627" s="5"/>
      <c r="J627" s="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4"/>
      <c r="D628" s="3"/>
      <c r="E628" s="3"/>
      <c r="F628" s="3"/>
      <c r="G628" s="3"/>
      <c r="H628" s="3"/>
      <c r="I628" s="5"/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4"/>
      <c r="D629" s="3"/>
      <c r="E629" s="3"/>
      <c r="F629" s="3"/>
      <c r="G629" s="3"/>
      <c r="H629" s="3"/>
      <c r="I629" s="5"/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4"/>
      <c r="D630" s="3"/>
      <c r="E630" s="3"/>
      <c r="F630" s="3"/>
      <c r="G630" s="3"/>
      <c r="H630" s="3"/>
      <c r="I630" s="5"/>
      <c r="J630" s="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4"/>
      <c r="D631" s="3"/>
      <c r="E631" s="3"/>
      <c r="F631" s="3"/>
      <c r="G631" s="3"/>
      <c r="H631" s="3"/>
      <c r="I631" s="5"/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4"/>
      <c r="D632" s="3"/>
      <c r="E632" s="3"/>
      <c r="F632" s="3"/>
      <c r="G632" s="3"/>
      <c r="H632" s="3"/>
      <c r="I632" s="5"/>
      <c r="J632" s="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4"/>
      <c r="D633" s="3"/>
      <c r="E633" s="3"/>
      <c r="F633" s="3"/>
      <c r="G633" s="3"/>
      <c r="H633" s="3"/>
      <c r="I633" s="5"/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4"/>
      <c r="D634" s="3"/>
      <c r="E634" s="3"/>
      <c r="F634" s="3"/>
      <c r="G634" s="3"/>
      <c r="H634" s="3"/>
      <c r="I634" s="5"/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4"/>
      <c r="D635" s="3"/>
      <c r="E635" s="3"/>
      <c r="F635" s="3"/>
      <c r="G635" s="3"/>
      <c r="H635" s="3"/>
      <c r="I635" s="5"/>
      <c r="J635" s="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4"/>
      <c r="D636" s="3"/>
      <c r="E636" s="3"/>
      <c r="F636" s="3"/>
      <c r="G636" s="3"/>
      <c r="H636" s="3"/>
      <c r="I636" s="5"/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4"/>
      <c r="D637" s="3"/>
      <c r="E637" s="3"/>
      <c r="F637" s="3"/>
      <c r="G637" s="3"/>
      <c r="H637" s="3"/>
      <c r="I637" s="5"/>
      <c r="J637" s="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4"/>
      <c r="D638" s="3"/>
      <c r="E638" s="3"/>
      <c r="F638" s="3"/>
      <c r="G638" s="3"/>
      <c r="H638" s="3"/>
      <c r="I638" s="5"/>
      <c r="J638" s="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4"/>
      <c r="D639" s="3"/>
      <c r="E639" s="3"/>
      <c r="F639" s="3"/>
      <c r="G639" s="3"/>
      <c r="H639" s="3"/>
      <c r="I639" s="5"/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4"/>
      <c r="D640" s="3"/>
      <c r="E640" s="3"/>
      <c r="F640" s="3"/>
      <c r="G640" s="3"/>
      <c r="H640" s="3"/>
      <c r="I640" s="5"/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4"/>
      <c r="D641" s="3"/>
      <c r="E641" s="3"/>
      <c r="F641" s="3"/>
      <c r="G641" s="3"/>
      <c r="H641" s="3"/>
      <c r="I641" s="5"/>
      <c r="J641" s="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4"/>
      <c r="D642" s="3"/>
      <c r="E642" s="3"/>
      <c r="F642" s="3"/>
      <c r="G642" s="3"/>
      <c r="H642" s="3"/>
      <c r="I642" s="5"/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4"/>
      <c r="D643" s="3"/>
      <c r="E643" s="3"/>
      <c r="F643" s="3"/>
      <c r="G643" s="3"/>
      <c r="H643" s="3"/>
      <c r="I643" s="5"/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4"/>
      <c r="D644" s="3"/>
      <c r="E644" s="3"/>
      <c r="F644" s="3"/>
      <c r="G644" s="3"/>
      <c r="H644" s="3"/>
      <c r="I644" s="5"/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4"/>
      <c r="D645" s="3"/>
      <c r="E645" s="3"/>
      <c r="F645" s="3"/>
      <c r="G645" s="3"/>
      <c r="H645" s="3"/>
      <c r="I645" s="5"/>
      <c r="J645" s="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4"/>
      <c r="D646" s="3"/>
      <c r="E646" s="3"/>
      <c r="F646" s="3"/>
      <c r="G646" s="3"/>
      <c r="H646" s="3"/>
      <c r="I646" s="5"/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4"/>
      <c r="D647" s="3"/>
      <c r="E647" s="3"/>
      <c r="F647" s="3"/>
      <c r="G647" s="3"/>
      <c r="H647" s="3"/>
      <c r="I647" s="5"/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4"/>
      <c r="D648" s="3"/>
      <c r="E648" s="3"/>
      <c r="F648" s="3"/>
      <c r="G648" s="3"/>
      <c r="H648" s="3"/>
      <c r="I648" s="5"/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4"/>
      <c r="D649" s="3"/>
      <c r="E649" s="3"/>
      <c r="F649" s="3"/>
      <c r="G649" s="3"/>
      <c r="H649" s="3"/>
      <c r="I649" s="5"/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4"/>
      <c r="D650" s="3"/>
      <c r="E650" s="3"/>
      <c r="F650" s="3"/>
      <c r="G650" s="3"/>
      <c r="H650" s="3"/>
      <c r="I650" s="5"/>
      <c r="J650" s="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4"/>
      <c r="D651" s="3"/>
      <c r="E651" s="3"/>
      <c r="F651" s="3"/>
      <c r="G651" s="3"/>
      <c r="H651" s="3"/>
      <c r="I651" s="5"/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4"/>
      <c r="D652" s="3"/>
      <c r="E652" s="3"/>
      <c r="F652" s="3"/>
      <c r="G652" s="3"/>
      <c r="H652" s="3"/>
      <c r="I652" s="5"/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4"/>
      <c r="D653" s="3"/>
      <c r="E653" s="3"/>
      <c r="F653" s="3"/>
      <c r="G653" s="3"/>
      <c r="H653" s="3"/>
      <c r="I653" s="5"/>
      <c r="J653" s="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4"/>
      <c r="D654" s="3"/>
      <c r="E654" s="3"/>
      <c r="F654" s="3"/>
      <c r="G654" s="3"/>
      <c r="H654" s="3"/>
      <c r="I654" s="5"/>
      <c r="J654" s="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4"/>
      <c r="D655" s="3"/>
      <c r="E655" s="3"/>
      <c r="F655" s="3"/>
      <c r="G655" s="3"/>
      <c r="H655" s="3"/>
      <c r="I655" s="5"/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4"/>
      <c r="D656" s="3"/>
      <c r="E656" s="3"/>
      <c r="F656" s="3"/>
      <c r="G656" s="3"/>
      <c r="H656" s="3"/>
      <c r="I656" s="5"/>
      <c r="J656" s="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4"/>
      <c r="D657" s="3"/>
      <c r="E657" s="3"/>
      <c r="F657" s="3"/>
      <c r="G657" s="3"/>
      <c r="H657" s="3"/>
      <c r="I657" s="5"/>
      <c r="J657" s="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4"/>
      <c r="D658" s="3"/>
      <c r="E658" s="3"/>
      <c r="F658" s="3"/>
      <c r="G658" s="3"/>
      <c r="H658" s="3"/>
      <c r="I658" s="5"/>
      <c r="J658" s="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4"/>
      <c r="D659" s="3"/>
      <c r="E659" s="3"/>
      <c r="F659" s="3"/>
      <c r="G659" s="3"/>
      <c r="H659" s="3"/>
      <c r="I659" s="5"/>
      <c r="J659" s="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4"/>
      <c r="D660" s="3"/>
      <c r="E660" s="3"/>
      <c r="F660" s="3"/>
      <c r="G660" s="3"/>
      <c r="H660" s="3"/>
      <c r="I660" s="5"/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4"/>
      <c r="D661" s="3"/>
      <c r="E661" s="3"/>
      <c r="F661" s="3"/>
      <c r="G661" s="3"/>
      <c r="H661" s="3"/>
      <c r="I661" s="5"/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4"/>
      <c r="D662" s="3"/>
      <c r="E662" s="3"/>
      <c r="F662" s="3"/>
      <c r="G662" s="3"/>
      <c r="H662" s="3"/>
      <c r="I662" s="5"/>
      <c r="J662" s="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4"/>
      <c r="D663" s="3"/>
      <c r="E663" s="3"/>
      <c r="F663" s="3"/>
      <c r="G663" s="3"/>
      <c r="H663" s="3"/>
      <c r="I663" s="5"/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4"/>
      <c r="D664" s="3"/>
      <c r="E664" s="3"/>
      <c r="F664" s="3"/>
      <c r="G664" s="3"/>
      <c r="H664" s="3"/>
      <c r="I664" s="5"/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4"/>
      <c r="D665" s="3"/>
      <c r="E665" s="3"/>
      <c r="F665" s="3"/>
      <c r="G665" s="3"/>
      <c r="H665" s="3"/>
      <c r="I665" s="5"/>
      <c r="J665" s="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4"/>
      <c r="D666" s="3"/>
      <c r="E666" s="3"/>
      <c r="F666" s="3"/>
      <c r="G666" s="3"/>
      <c r="H666" s="3"/>
      <c r="I666" s="5"/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4"/>
      <c r="D667" s="3"/>
      <c r="E667" s="3"/>
      <c r="F667" s="3"/>
      <c r="G667" s="3"/>
      <c r="H667" s="3"/>
      <c r="I667" s="5"/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4"/>
      <c r="D668" s="3"/>
      <c r="E668" s="3"/>
      <c r="F668" s="3"/>
      <c r="G668" s="3"/>
      <c r="H668" s="3"/>
      <c r="I668" s="5"/>
      <c r="J668" s="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4"/>
      <c r="D669" s="3"/>
      <c r="E669" s="3"/>
      <c r="F669" s="3"/>
      <c r="G669" s="3"/>
      <c r="H669" s="3"/>
      <c r="I669" s="5"/>
      <c r="J669" s="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4"/>
      <c r="D670" s="3"/>
      <c r="E670" s="3"/>
      <c r="F670" s="3"/>
      <c r="G670" s="3"/>
      <c r="H670" s="3"/>
      <c r="I670" s="5"/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4"/>
      <c r="D671" s="3"/>
      <c r="E671" s="3"/>
      <c r="F671" s="3"/>
      <c r="G671" s="3"/>
      <c r="H671" s="3"/>
      <c r="I671" s="5"/>
      <c r="J671" s="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4"/>
      <c r="D672" s="3"/>
      <c r="E672" s="3"/>
      <c r="F672" s="3"/>
      <c r="G672" s="3"/>
      <c r="H672" s="3"/>
      <c r="I672" s="5"/>
      <c r="J672" s="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4"/>
      <c r="D673" s="3"/>
      <c r="E673" s="3"/>
      <c r="F673" s="3"/>
      <c r="G673" s="3"/>
      <c r="H673" s="3"/>
      <c r="I673" s="5"/>
      <c r="J673" s="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4"/>
      <c r="D674" s="3"/>
      <c r="E674" s="3"/>
      <c r="F674" s="3"/>
      <c r="G674" s="3"/>
      <c r="H674" s="3"/>
      <c r="I674" s="5"/>
      <c r="J674" s="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4"/>
      <c r="D675" s="3"/>
      <c r="E675" s="3"/>
      <c r="F675" s="3"/>
      <c r="G675" s="3"/>
      <c r="H675" s="3"/>
      <c r="I675" s="5"/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4"/>
      <c r="D676" s="3"/>
      <c r="E676" s="3"/>
      <c r="F676" s="3"/>
      <c r="G676" s="3"/>
      <c r="H676" s="3"/>
      <c r="I676" s="5"/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4"/>
      <c r="D677" s="3"/>
      <c r="E677" s="3"/>
      <c r="F677" s="3"/>
      <c r="G677" s="3"/>
      <c r="H677" s="3"/>
      <c r="I677" s="5"/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4"/>
      <c r="D678" s="3"/>
      <c r="E678" s="3"/>
      <c r="F678" s="3"/>
      <c r="G678" s="3"/>
      <c r="H678" s="3"/>
      <c r="I678" s="5"/>
      <c r="J678" s="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4"/>
      <c r="D679" s="3"/>
      <c r="E679" s="3"/>
      <c r="F679" s="3"/>
      <c r="G679" s="3"/>
      <c r="H679" s="3"/>
      <c r="I679" s="5"/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4"/>
      <c r="D680" s="3"/>
      <c r="E680" s="3"/>
      <c r="F680" s="3"/>
      <c r="G680" s="3"/>
      <c r="H680" s="3"/>
      <c r="I680" s="5"/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4"/>
      <c r="D681" s="3"/>
      <c r="E681" s="3"/>
      <c r="F681" s="3"/>
      <c r="G681" s="3"/>
      <c r="H681" s="3"/>
      <c r="I681" s="5"/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4"/>
      <c r="D682" s="3"/>
      <c r="E682" s="3"/>
      <c r="F682" s="3"/>
      <c r="G682" s="3"/>
      <c r="H682" s="3"/>
      <c r="I682" s="5"/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4"/>
      <c r="D683" s="3"/>
      <c r="E683" s="3"/>
      <c r="F683" s="3"/>
      <c r="G683" s="3"/>
      <c r="H683" s="3"/>
      <c r="I683" s="5"/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4"/>
      <c r="D684" s="3"/>
      <c r="E684" s="3"/>
      <c r="F684" s="3"/>
      <c r="G684" s="3"/>
      <c r="H684" s="3"/>
      <c r="I684" s="5"/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4"/>
      <c r="D685" s="3"/>
      <c r="E685" s="3"/>
      <c r="F685" s="3"/>
      <c r="G685" s="3"/>
      <c r="H685" s="3"/>
      <c r="I685" s="5"/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4"/>
      <c r="D686" s="3"/>
      <c r="E686" s="3"/>
      <c r="F686" s="3"/>
      <c r="G686" s="3"/>
      <c r="H686" s="3"/>
      <c r="I686" s="5"/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4"/>
      <c r="D687" s="3"/>
      <c r="E687" s="3"/>
      <c r="F687" s="3"/>
      <c r="G687" s="3"/>
      <c r="H687" s="3"/>
      <c r="I687" s="5"/>
      <c r="J687" s="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4"/>
      <c r="D688" s="3"/>
      <c r="E688" s="3"/>
      <c r="F688" s="3"/>
      <c r="G688" s="3"/>
      <c r="H688" s="3"/>
      <c r="I688" s="5"/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4"/>
      <c r="D689" s="3"/>
      <c r="E689" s="3"/>
      <c r="F689" s="3"/>
      <c r="G689" s="3"/>
      <c r="H689" s="3"/>
      <c r="I689" s="5"/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4"/>
      <c r="D690" s="3"/>
      <c r="E690" s="3"/>
      <c r="F690" s="3"/>
      <c r="G690" s="3"/>
      <c r="H690" s="3"/>
      <c r="I690" s="5"/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4"/>
      <c r="D691" s="3"/>
      <c r="E691" s="3"/>
      <c r="F691" s="3"/>
      <c r="G691" s="3"/>
      <c r="H691" s="3"/>
      <c r="I691" s="5"/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4"/>
      <c r="D692" s="3"/>
      <c r="E692" s="3"/>
      <c r="F692" s="3"/>
      <c r="G692" s="3"/>
      <c r="H692" s="3"/>
      <c r="I692" s="5"/>
      <c r="J692" s="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4"/>
      <c r="D693" s="3"/>
      <c r="E693" s="3"/>
      <c r="F693" s="3"/>
      <c r="G693" s="3"/>
      <c r="H693" s="3"/>
      <c r="I693" s="5"/>
      <c r="J693" s="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4"/>
      <c r="D694" s="3"/>
      <c r="E694" s="3"/>
      <c r="F694" s="3"/>
      <c r="G694" s="3"/>
      <c r="H694" s="3"/>
      <c r="I694" s="5"/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4"/>
      <c r="D695" s="3"/>
      <c r="E695" s="3"/>
      <c r="F695" s="3"/>
      <c r="G695" s="3"/>
      <c r="H695" s="3"/>
      <c r="I695" s="5"/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4"/>
      <c r="D696" s="3"/>
      <c r="E696" s="3"/>
      <c r="F696" s="3"/>
      <c r="G696" s="3"/>
      <c r="H696" s="3"/>
      <c r="I696" s="5"/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4"/>
      <c r="D697" s="3"/>
      <c r="E697" s="3"/>
      <c r="F697" s="3"/>
      <c r="G697" s="3"/>
      <c r="H697" s="3"/>
      <c r="I697" s="5"/>
      <c r="J697" s="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4"/>
      <c r="D698" s="3"/>
      <c r="E698" s="3"/>
      <c r="F698" s="3"/>
      <c r="G698" s="3"/>
      <c r="H698" s="3"/>
      <c r="I698" s="5"/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4"/>
      <c r="D699" s="3"/>
      <c r="E699" s="3"/>
      <c r="F699" s="3"/>
      <c r="G699" s="3"/>
      <c r="H699" s="3"/>
      <c r="I699" s="5"/>
      <c r="J699" s="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4"/>
      <c r="D700" s="3"/>
      <c r="E700" s="3"/>
      <c r="F700" s="3"/>
      <c r="G700" s="3"/>
      <c r="H700" s="3"/>
      <c r="I700" s="5"/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4"/>
      <c r="D701" s="3"/>
      <c r="E701" s="3"/>
      <c r="F701" s="3"/>
      <c r="G701" s="3"/>
      <c r="H701" s="3"/>
      <c r="I701" s="5"/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4"/>
      <c r="D702" s="3"/>
      <c r="E702" s="3"/>
      <c r="F702" s="3"/>
      <c r="G702" s="3"/>
      <c r="H702" s="3"/>
      <c r="I702" s="5"/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4"/>
      <c r="D703" s="3"/>
      <c r="E703" s="3"/>
      <c r="F703" s="3"/>
      <c r="G703" s="3"/>
      <c r="H703" s="3"/>
      <c r="I703" s="5"/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4"/>
      <c r="D704" s="3"/>
      <c r="E704" s="3"/>
      <c r="F704" s="3"/>
      <c r="G704" s="3"/>
      <c r="H704" s="3"/>
      <c r="I704" s="5"/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4"/>
      <c r="D705" s="3"/>
      <c r="E705" s="3"/>
      <c r="F705" s="3"/>
      <c r="G705" s="3"/>
      <c r="H705" s="3"/>
      <c r="I705" s="5"/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4"/>
      <c r="D706" s="3"/>
      <c r="E706" s="3"/>
      <c r="F706" s="3"/>
      <c r="G706" s="3"/>
      <c r="H706" s="3"/>
      <c r="I706" s="5"/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4"/>
      <c r="D707" s="3"/>
      <c r="E707" s="3"/>
      <c r="F707" s="3"/>
      <c r="G707" s="3"/>
      <c r="H707" s="3"/>
      <c r="I707" s="5"/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4"/>
      <c r="D708" s="3"/>
      <c r="E708" s="3"/>
      <c r="F708" s="3"/>
      <c r="G708" s="3"/>
      <c r="H708" s="3"/>
      <c r="I708" s="5"/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4"/>
      <c r="D709" s="3"/>
      <c r="E709" s="3"/>
      <c r="F709" s="3"/>
      <c r="G709" s="3"/>
      <c r="H709" s="3"/>
      <c r="I709" s="5"/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4"/>
      <c r="D710" s="3"/>
      <c r="E710" s="3"/>
      <c r="F710" s="3"/>
      <c r="G710" s="3"/>
      <c r="H710" s="3"/>
      <c r="I710" s="5"/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4"/>
      <c r="D711" s="3"/>
      <c r="E711" s="3"/>
      <c r="F711" s="3"/>
      <c r="G711" s="3"/>
      <c r="H711" s="3"/>
      <c r="I711" s="5"/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4"/>
      <c r="D712" s="3"/>
      <c r="E712" s="3"/>
      <c r="F712" s="3"/>
      <c r="G712" s="3"/>
      <c r="H712" s="3"/>
      <c r="I712" s="5"/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4"/>
      <c r="D713" s="3"/>
      <c r="E713" s="3"/>
      <c r="F713" s="3"/>
      <c r="G713" s="3"/>
      <c r="H713" s="3"/>
      <c r="I713" s="5"/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4"/>
      <c r="D714" s="3"/>
      <c r="E714" s="3"/>
      <c r="F714" s="3"/>
      <c r="G714" s="3"/>
      <c r="H714" s="3"/>
      <c r="I714" s="5"/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4"/>
      <c r="D715" s="3"/>
      <c r="E715" s="3"/>
      <c r="F715" s="3"/>
      <c r="G715" s="3"/>
      <c r="H715" s="3"/>
      <c r="I715" s="5"/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4"/>
      <c r="D716" s="3"/>
      <c r="E716" s="3"/>
      <c r="F716" s="3"/>
      <c r="G716" s="3"/>
      <c r="H716" s="3"/>
      <c r="I716" s="5"/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4"/>
      <c r="D717" s="3"/>
      <c r="E717" s="3"/>
      <c r="F717" s="3"/>
      <c r="G717" s="3"/>
      <c r="H717" s="3"/>
      <c r="I717" s="5"/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4"/>
      <c r="D718" s="3"/>
      <c r="E718" s="3"/>
      <c r="F718" s="3"/>
      <c r="G718" s="3"/>
      <c r="H718" s="3"/>
      <c r="I718" s="5"/>
      <c r="J718" s="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4"/>
      <c r="D719" s="3"/>
      <c r="E719" s="3"/>
      <c r="F719" s="3"/>
      <c r="G719" s="3"/>
      <c r="H719" s="3"/>
      <c r="I719" s="5"/>
      <c r="J719" s="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4"/>
      <c r="D720" s="3"/>
      <c r="E720" s="3"/>
      <c r="F720" s="3"/>
      <c r="G720" s="3"/>
      <c r="H720" s="3"/>
      <c r="I720" s="5"/>
      <c r="J720" s="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4"/>
      <c r="D721" s="3"/>
      <c r="E721" s="3"/>
      <c r="F721" s="3"/>
      <c r="G721" s="3"/>
      <c r="H721" s="3"/>
      <c r="I721" s="5"/>
      <c r="J721" s="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4"/>
      <c r="D722" s="3"/>
      <c r="E722" s="3"/>
      <c r="F722" s="3"/>
      <c r="G722" s="3"/>
      <c r="H722" s="3"/>
      <c r="I722" s="5"/>
      <c r="J722" s="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4"/>
      <c r="D723" s="3"/>
      <c r="E723" s="3"/>
      <c r="F723" s="3"/>
      <c r="G723" s="3"/>
      <c r="H723" s="3"/>
      <c r="I723" s="5"/>
      <c r="J723" s="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4"/>
      <c r="D724" s="3"/>
      <c r="E724" s="3"/>
      <c r="F724" s="3"/>
      <c r="G724" s="3"/>
      <c r="H724" s="3"/>
      <c r="I724" s="5"/>
      <c r="J724" s="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4"/>
      <c r="D725" s="3"/>
      <c r="E725" s="3"/>
      <c r="F725" s="3"/>
      <c r="G725" s="3"/>
      <c r="H725" s="3"/>
      <c r="I725" s="5"/>
      <c r="J725" s="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4"/>
      <c r="D726" s="3"/>
      <c r="E726" s="3"/>
      <c r="F726" s="3"/>
      <c r="G726" s="3"/>
      <c r="H726" s="3"/>
      <c r="I726" s="5"/>
      <c r="J726" s="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4"/>
      <c r="D727" s="3"/>
      <c r="E727" s="3"/>
      <c r="F727" s="3"/>
      <c r="G727" s="3"/>
      <c r="H727" s="3"/>
      <c r="I727" s="5"/>
      <c r="J727" s="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4"/>
      <c r="D728" s="3"/>
      <c r="E728" s="3"/>
      <c r="F728" s="3"/>
      <c r="G728" s="3"/>
      <c r="H728" s="3"/>
      <c r="I728" s="5"/>
      <c r="J728" s="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4"/>
      <c r="D729" s="3"/>
      <c r="E729" s="3"/>
      <c r="F729" s="3"/>
      <c r="G729" s="3"/>
      <c r="H729" s="3"/>
      <c r="I729" s="5"/>
      <c r="J729" s="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4"/>
      <c r="D730" s="3"/>
      <c r="E730" s="3"/>
      <c r="F730" s="3"/>
      <c r="G730" s="3"/>
      <c r="H730" s="3"/>
      <c r="I730" s="5"/>
      <c r="J730" s="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4"/>
      <c r="D731" s="3"/>
      <c r="E731" s="3"/>
      <c r="F731" s="3"/>
      <c r="G731" s="3"/>
      <c r="H731" s="3"/>
      <c r="I731" s="5"/>
      <c r="J731" s="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4"/>
      <c r="D732" s="3"/>
      <c r="E732" s="3"/>
      <c r="F732" s="3"/>
      <c r="G732" s="3"/>
      <c r="H732" s="3"/>
      <c r="I732" s="5"/>
      <c r="J732" s="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4"/>
      <c r="D733" s="3"/>
      <c r="E733" s="3"/>
      <c r="F733" s="3"/>
      <c r="G733" s="3"/>
      <c r="H733" s="3"/>
      <c r="I733" s="5"/>
      <c r="J733" s="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4"/>
      <c r="D734" s="3"/>
      <c r="E734" s="3"/>
      <c r="F734" s="3"/>
      <c r="G734" s="3"/>
      <c r="H734" s="3"/>
      <c r="I734" s="5"/>
      <c r="J734" s="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4"/>
      <c r="D735" s="3"/>
      <c r="E735" s="3"/>
      <c r="F735" s="3"/>
      <c r="G735" s="3"/>
      <c r="H735" s="3"/>
      <c r="I735" s="5"/>
      <c r="J735" s="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4"/>
      <c r="D736" s="3"/>
      <c r="E736" s="3"/>
      <c r="F736" s="3"/>
      <c r="G736" s="3"/>
      <c r="H736" s="3"/>
      <c r="I736" s="5"/>
      <c r="J736" s="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4"/>
      <c r="D737" s="3"/>
      <c r="E737" s="3"/>
      <c r="F737" s="3"/>
      <c r="G737" s="3"/>
      <c r="H737" s="3"/>
      <c r="I737" s="5"/>
      <c r="J737" s="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4"/>
      <c r="D738" s="3"/>
      <c r="E738" s="3"/>
      <c r="F738" s="3"/>
      <c r="G738" s="3"/>
      <c r="H738" s="3"/>
      <c r="I738" s="5"/>
      <c r="J738" s="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4"/>
      <c r="D739" s="3"/>
      <c r="E739" s="3"/>
      <c r="F739" s="3"/>
      <c r="G739" s="3"/>
      <c r="H739" s="3"/>
      <c r="I739" s="5"/>
      <c r="J739" s="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4"/>
      <c r="D740" s="3"/>
      <c r="E740" s="3"/>
      <c r="F740" s="3"/>
      <c r="G740" s="3"/>
      <c r="H740" s="3"/>
      <c r="I740" s="5"/>
      <c r="J740" s="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4"/>
      <c r="D741" s="3"/>
      <c r="E741" s="3"/>
      <c r="F741" s="3"/>
      <c r="G741" s="3"/>
      <c r="H741" s="3"/>
      <c r="I741" s="5"/>
      <c r="J741" s="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4"/>
      <c r="D742" s="3"/>
      <c r="E742" s="3"/>
      <c r="F742" s="3"/>
      <c r="G742" s="3"/>
      <c r="H742" s="3"/>
      <c r="I742" s="5"/>
      <c r="J742" s="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4"/>
      <c r="D743" s="3"/>
      <c r="E743" s="3"/>
      <c r="F743" s="3"/>
      <c r="G743" s="3"/>
      <c r="H743" s="3"/>
      <c r="I743" s="5"/>
      <c r="J743" s="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4"/>
      <c r="D744" s="3"/>
      <c r="E744" s="3"/>
      <c r="F744" s="3"/>
      <c r="G744" s="3"/>
      <c r="H744" s="3"/>
      <c r="I744" s="5"/>
      <c r="J744" s="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4"/>
      <c r="D745" s="3"/>
      <c r="E745" s="3"/>
      <c r="F745" s="3"/>
      <c r="G745" s="3"/>
      <c r="H745" s="3"/>
      <c r="I745" s="5"/>
      <c r="J745" s="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4"/>
      <c r="D746" s="3"/>
      <c r="E746" s="3"/>
      <c r="F746" s="3"/>
      <c r="G746" s="3"/>
      <c r="H746" s="3"/>
      <c r="I746" s="5"/>
      <c r="J746" s="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4"/>
      <c r="D747" s="3"/>
      <c r="E747" s="3"/>
      <c r="F747" s="3"/>
      <c r="G747" s="3"/>
      <c r="H747" s="3"/>
      <c r="I747" s="5"/>
      <c r="J747" s="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4"/>
      <c r="D748" s="3"/>
      <c r="E748" s="3"/>
      <c r="F748" s="3"/>
      <c r="G748" s="3"/>
      <c r="H748" s="3"/>
      <c r="I748" s="5"/>
      <c r="J748" s="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4"/>
      <c r="D749" s="3"/>
      <c r="E749" s="3"/>
      <c r="F749" s="3"/>
      <c r="G749" s="3"/>
      <c r="H749" s="3"/>
      <c r="I749" s="5"/>
      <c r="J749" s="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4"/>
      <c r="D750" s="3"/>
      <c r="E750" s="3"/>
      <c r="F750" s="3"/>
      <c r="G750" s="3"/>
      <c r="H750" s="3"/>
      <c r="I750" s="5"/>
      <c r="J750" s="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4"/>
      <c r="D751" s="3"/>
      <c r="E751" s="3"/>
      <c r="F751" s="3"/>
      <c r="G751" s="3"/>
      <c r="H751" s="3"/>
      <c r="I751" s="5"/>
      <c r="J751" s="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4"/>
      <c r="D752" s="3"/>
      <c r="E752" s="3"/>
      <c r="F752" s="3"/>
      <c r="G752" s="3"/>
      <c r="H752" s="3"/>
      <c r="I752" s="5"/>
      <c r="J752" s="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4"/>
      <c r="D753" s="3"/>
      <c r="E753" s="3"/>
      <c r="F753" s="3"/>
      <c r="G753" s="3"/>
      <c r="H753" s="3"/>
      <c r="I753" s="5"/>
      <c r="J753" s="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4"/>
      <c r="D754" s="3"/>
      <c r="E754" s="3"/>
      <c r="F754" s="3"/>
      <c r="G754" s="3"/>
      <c r="H754" s="3"/>
      <c r="I754" s="5"/>
      <c r="J754" s="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4"/>
      <c r="D755" s="3"/>
      <c r="E755" s="3"/>
      <c r="F755" s="3"/>
      <c r="G755" s="3"/>
      <c r="H755" s="3"/>
      <c r="I755" s="5"/>
      <c r="J755" s="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4"/>
      <c r="D756" s="3"/>
      <c r="E756" s="3"/>
      <c r="F756" s="3"/>
      <c r="G756" s="3"/>
      <c r="H756" s="3"/>
      <c r="I756" s="5"/>
      <c r="J756" s="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4"/>
      <c r="D757" s="3"/>
      <c r="E757" s="3"/>
      <c r="F757" s="3"/>
      <c r="G757" s="3"/>
      <c r="H757" s="3"/>
      <c r="I757" s="5"/>
      <c r="J757" s="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4"/>
      <c r="D758" s="3"/>
      <c r="E758" s="3"/>
      <c r="F758" s="3"/>
      <c r="G758" s="3"/>
      <c r="H758" s="3"/>
      <c r="I758" s="5"/>
      <c r="J758" s="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4"/>
      <c r="D759" s="3"/>
      <c r="E759" s="3"/>
      <c r="F759" s="3"/>
      <c r="G759" s="3"/>
      <c r="H759" s="3"/>
      <c r="I759" s="5"/>
      <c r="J759" s="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4"/>
      <c r="D760" s="3"/>
      <c r="E760" s="3"/>
      <c r="F760" s="3"/>
      <c r="G760" s="3"/>
      <c r="H760" s="3"/>
      <c r="I760" s="5"/>
      <c r="J760" s="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4"/>
      <c r="D761" s="3"/>
      <c r="E761" s="3"/>
      <c r="F761" s="3"/>
      <c r="G761" s="3"/>
      <c r="H761" s="3"/>
      <c r="I761" s="5"/>
      <c r="J761" s="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4"/>
      <c r="D762" s="3"/>
      <c r="E762" s="3"/>
      <c r="F762" s="3"/>
      <c r="G762" s="3"/>
      <c r="H762" s="3"/>
      <c r="I762" s="5"/>
      <c r="J762" s="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4"/>
      <c r="D763" s="3"/>
      <c r="E763" s="3"/>
      <c r="F763" s="3"/>
      <c r="G763" s="3"/>
      <c r="H763" s="3"/>
      <c r="I763" s="5"/>
      <c r="J763" s="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4"/>
      <c r="D764" s="3"/>
      <c r="E764" s="3"/>
      <c r="F764" s="3"/>
      <c r="G764" s="3"/>
      <c r="H764" s="3"/>
      <c r="I764" s="5"/>
      <c r="J764" s="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4"/>
      <c r="D765" s="3"/>
      <c r="E765" s="3"/>
      <c r="F765" s="3"/>
      <c r="G765" s="3"/>
      <c r="H765" s="3"/>
      <c r="I765" s="5"/>
      <c r="J765" s="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4"/>
      <c r="D766" s="3"/>
      <c r="E766" s="3"/>
      <c r="F766" s="3"/>
      <c r="G766" s="3"/>
      <c r="H766" s="3"/>
      <c r="I766" s="5"/>
      <c r="J766" s="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4"/>
      <c r="D767" s="3"/>
      <c r="E767" s="3"/>
      <c r="F767" s="3"/>
      <c r="G767" s="3"/>
      <c r="H767" s="3"/>
      <c r="I767" s="5"/>
      <c r="J767" s="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4"/>
      <c r="D768" s="3"/>
      <c r="E768" s="3"/>
      <c r="F768" s="3"/>
      <c r="G768" s="3"/>
      <c r="H768" s="3"/>
      <c r="I768" s="5"/>
      <c r="J768" s="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4"/>
      <c r="D769" s="3"/>
      <c r="E769" s="3"/>
      <c r="F769" s="3"/>
      <c r="G769" s="3"/>
      <c r="H769" s="3"/>
      <c r="I769" s="5"/>
      <c r="J769" s="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4"/>
      <c r="D770" s="3"/>
      <c r="E770" s="3"/>
      <c r="F770" s="3"/>
      <c r="G770" s="3"/>
      <c r="H770" s="3"/>
      <c r="I770" s="5"/>
      <c r="J770" s="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4"/>
      <c r="D771" s="3"/>
      <c r="E771" s="3"/>
      <c r="F771" s="3"/>
      <c r="G771" s="3"/>
      <c r="H771" s="3"/>
      <c r="I771" s="5"/>
      <c r="J771" s="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4"/>
      <c r="D772" s="3"/>
      <c r="E772" s="3"/>
      <c r="F772" s="3"/>
      <c r="G772" s="3"/>
      <c r="H772" s="3"/>
      <c r="I772" s="5"/>
      <c r="J772" s="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4"/>
      <c r="D773" s="3"/>
      <c r="E773" s="3"/>
      <c r="F773" s="3"/>
      <c r="G773" s="3"/>
      <c r="H773" s="3"/>
      <c r="I773" s="5"/>
      <c r="J773" s="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4"/>
      <c r="D774" s="3"/>
      <c r="E774" s="3"/>
      <c r="F774" s="3"/>
      <c r="G774" s="3"/>
      <c r="H774" s="3"/>
      <c r="I774" s="5"/>
      <c r="J774" s="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4"/>
      <c r="D775" s="3"/>
      <c r="E775" s="3"/>
      <c r="F775" s="3"/>
      <c r="G775" s="3"/>
      <c r="H775" s="3"/>
      <c r="I775" s="5"/>
      <c r="J775" s="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4"/>
      <c r="D776" s="3"/>
      <c r="E776" s="3"/>
      <c r="F776" s="3"/>
      <c r="G776" s="3"/>
      <c r="H776" s="3"/>
      <c r="I776" s="5"/>
      <c r="J776" s="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4"/>
      <c r="D777" s="3"/>
      <c r="E777" s="3"/>
      <c r="F777" s="3"/>
      <c r="G777" s="3"/>
      <c r="H777" s="3"/>
      <c r="I777" s="5"/>
      <c r="J777" s="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4"/>
      <c r="D778" s="3"/>
      <c r="E778" s="3"/>
      <c r="F778" s="3"/>
      <c r="G778" s="3"/>
      <c r="H778" s="3"/>
      <c r="I778" s="5"/>
      <c r="J778" s="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4"/>
      <c r="D779" s="3"/>
      <c r="E779" s="3"/>
      <c r="F779" s="3"/>
      <c r="G779" s="3"/>
      <c r="H779" s="3"/>
      <c r="I779" s="5"/>
      <c r="J779" s="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4"/>
      <c r="D780" s="3"/>
      <c r="E780" s="3"/>
      <c r="F780" s="3"/>
      <c r="G780" s="3"/>
      <c r="H780" s="3"/>
      <c r="I780" s="5"/>
      <c r="J780" s="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4"/>
      <c r="D781" s="3"/>
      <c r="E781" s="3"/>
      <c r="F781" s="3"/>
      <c r="G781" s="3"/>
      <c r="H781" s="3"/>
      <c r="I781" s="5"/>
      <c r="J781" s="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4"/>
      <c r="D782" s="3"/>
      <c r="E782" s="3"/>
      <c r="F782" s="3"/>
      <c r="G782" s="3"/>
      <c r="H782" s="3"/>
      <c r="I782" s="5"/>
      <c r="J782" s="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4"/>
      <c r="D783" s="3"/>
      <c r="E783" s="3"/>
      <c r="F783" s="3"/>
      <c r="G783" s="3"/>
      <c r="H783" s="3"/>
      <c r="I783" s="5"/>
      <c r="J783" s="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4"/>
      <c r="D784" s="3"/>
      <c r="E784" s="3"/>
      <c r="F784" s="3"/>
      <c r="G784" s="3"/>
      <c r="H784" s="3"/>
      <c r="I784" s="5"/>
      <c r="J784" s="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4"/>
      <c r="D785" s="3"/>
      <c r="E785" s="3"/>
      <c r="F785" s="3"/>
      <c r="G785" s="3"/>
      <c r="H785" s="3"/>
      <c r="I785" s="5"/>
      <c r="J785" s="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4"/>
      <c r="D786" s="3"/>
      <c r="E786" s="3"/>
      <c r="F786" s="3"/>
      <c r="G786" s="3"/>
      <c r="H786" s="3"/>
      <c r="I786" s="5"/>
      <c r="J786" s="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4"/>
      <c r="D787" s="3"/>
      <c r="E787" s="3"/>
      <c r="F787" s="3"/>
      <c r="G787" s="3"/>
      <c r="H787" s="3"/>
      <c r="I787" s="5"/>
      <c r="J787" s="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4"/>
      <c r="D788" s="3"/>
      <c r="E788" s="3"/>
      <c r="F788" s="3"/>
      <c r="G788" s="3"/>
      <c r="H788" s="3"/>
      <c r="I788" s="5"/>
      <c r="J788" s="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4"/>
      <c r="D789" s="3"/>
      <c r="E789" s="3"/>
      <c r="F789" s="3"/>
      <c r="G789" s="3"/>
      <c r="H789" s="3"/>
      <c r="I789" s="5"/>
      <c r="J789" s="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4"/>
      <c r="D790" s="3"/>
      <c r="E790" s="3"/>
      <c r="F790" s="3"/>
      <c r="G790" s="3"/>
      <c r="H790" s="3"/>
      <c r="I790" s="5"/>
      <c r="J790" s="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4"/>
      <c r="D791" s="3"/>
      <c r="E791" s="3"/>
      <c r="F791" s="3"/>
      <c r="G791" s="3"/>
      <c r="H791" s="3"/>
      <c r="I791" s="5"/>
      <c r="J791" s="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4"/>
      <c r="D792" s="3"/>
      <c r="E792" s="3"/>
      <c r="F792" s="3"/>
      <c r="G792" s="3"/>
      <c r="H792" s="3"/>
      <c r="I792" s="5"/>
      <c r="J792" s="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4"/>
      <c r="D793" s="3"/>
      <c r="E793" s="3"/>
      <c r="F793" s="3"/>
      <c r="G793" s="3"/>
      <c r="H793" s="3"/>
      <c r="I793" s="5"/>
      <c r="J793" s="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4"/>
      <c r="D794" s="3"/>
      <c r="E794" s="3"/>
      <c r="F794" s="3"/>
      <c r="G794" s="3"/>
      <c r="H794" s="3"/>
      <c r="I794" s="5"/>
      <c r="J794" s="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4"/>
      <c r="D795" s="3"/>
      <c r="E795" s="3"/>
      <c r="F795" s="3"/>
      <c r="G795" s="3"/>
      <c r="H795" s="3"/>
      <c r="I795" s="5"/>
      <c r="J795" s="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4"/>
      <c r="D796" s="3"/>
      <c r="E796" s="3"/>
      <c r="F796" s="3"/>
      <c r="G796" s="3"/>
      <c r="H796" s="3"/>
      <c r="I796" s="5"/>
      <c r="J796" s="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4"/>
      <c r="D797" s="3"/>
      <c r="E797" s="3"/>
      <c r="F797" s="3"/>
      <c r="G797" s="3"/>
      <c r="H797" s="3"/>
      <c r="I797" s="5"/>
      <c r="J797" s="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4"/>
      <c r="D798" s="3"/>
      <c r="E798" s="3"/>
      <c r="F798" s="3"/>
      <c r="G798" s="3"/>
      <c r="H798" s="3"/>
      <c r="I798" s="5"/>
      <c r="J798" s="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4"/>
      <c r="D799" s="3"/>
      <c r="E799" s="3"/>
      <c r="F799" s="3"/>
      <c r="G799" s="3"/>
      <c r="H799" s="3"/>
      <c r="I799" s="5"/>
      <c r="J799" s="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4"/>
      <c r="D800" s="3"/>
      <c r="E800" s="3"/>
      <c r="F800" s="3"/>
      <c r="G800" s="3"/>
      <c r="H800" s="3"/>
      <c r="I800" s="5"/>
      <c r="J800" s="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4"/>
      <c r="D801" s="3"/>
      <c r="E801" s="3"/>
      <c r="F801" s="3"/>
      <c r="G801" s="3"/>
      <c r="H801" s="3"/>
      <c r="I801" s="5"/>
      <c r="J801" s="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4"/>
      <c r="D802" s="3"/>
      <c r="E802" s="3"/>
      <c r="F802" s="3"/>
      <c r="G802" s="3"/>
      <c r="H802" s="3"/>
      <c r="I802" s="5"/>
      <c r="J802" s="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4"/>
      <c r="D803" s="3"/>
      <c r="E803" s="3"/>
      <c r="F803" s="3"/>
      <c r="G803" s="3"/>
      <c r="H803" s="3"/>
      <c r="I803" s="5"/>
      <c r="J803" s="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4"/>
      <c r="D804" s="3"/>
      <c r="E804" s="3"/>
      <c r="F804" s="3"/>
      <c r="G804" s="3"/>
      <c r="H804" s="3"/>
      <c r="I804" s="5"/>
      <c r="J804" s="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4"/>
      <c r="D805" s="3"/>
      <c r="E805" s="3"/>
      <c r="F805" s="3"/>
      <c r="G805" s="3"/>
      <c r="H805" s="3"/>
      <c r="I805" s="5"/>
      <c r="J805" s="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4"/>
      <c r="D806" s="3"/>
      <c r="E806" s="3"/>
      <c r="F806" s="3"/>
      <c r="G806" s="3"/>
      <c r="H806" s="3"/>
      <c r="I806" s="5"/>
      <c r="J806" s="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4"/>
      <c r="D807" s="3"/>
      <c r="E807" s="3"/>
      <c r="F807" s="3"/>
      <c r="G807" s="3"/>
      <c r="H807" s="3"/>
      <c r="I807" s="5"/>
      <c r="J807" s="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4"/>
      <c r="D808" s="3"/>
      <c r="E808" s="3"/>
      <c r="F808" s="3"/>
      <c r="G808" s="3"/>
      <c r="H808" s="3"/>
      <c r="I808" s="5"/>
      <c r="J808" s="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4"/>
      <c r="D809" s="3"/>
      <c r="E809" s="3"/>
      <c r="F809" s="3"/>
      <c r="G809" s="3"/>
      <c r="H809" s="3"/>
      <c r="I809" s="5"/>
      <c r="J809" s="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4"/>
      <c r="D810" s="3"/>
      <c r="E810" s="3"/>
      <c r="F810" s="3"/>
      <c r="G810" s="3"/>
      <c r="H810" s="3"/>
      <c r="I810" s="5"/>
      <c r="J810" s="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4"/>
      <c r="D811" s="3"/>
      <c r="E811" s="3"/>
      <c r="F811" s="3"/>
      <c r="G811" s="3"/>
      <c r="H811" s="3"/>
      <c r="I811" s="5"/>
      <c r="J811" s="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4"/>
      <c r="D812" s="3"/>
      <c r="E812" s="3"/>
      <c r="F812" s="3"/>
      <c r="G812" s="3"/>
      <c r="H812" s="3"/>
      <c r="I812" s="5"/>
      <c r="J812" s="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4"/>
      <c r="D813" s="3"/>
      <c r="E813" s="3"/>
      <c r="F813" s="3"/>
      <c r="G813" s="3"/>
      <c r="H813" s="3"/>
      <c r="I813" s="5"/>
      <c r="J813" s="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4"/>
      <c r="D814" s="3"/>
      <c r="E814" s="3"/>
      <c r="F814" s="3"/>
      <c r="G814" s="3"/>
      <c r="H814" s="3"/>
      <c r="I814" s="5"/>
      <c r="J814" s="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4"/>
      <c r="D815" s="3"/>
      <c r="E815" s="3"/>
      <c r="F815" s="3"/>
      <c r="G815" s="3"/>
      <c r="H815" s="3"/>
      <c r="I815" s="5"/>
      <c r="J815" s="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4"/>
      <c r="D816" s="3"/>
      <c r="E816" s="3"/>
      <c r="F816" s="3"/>
      <c r="G816" s="3"/>
      <c r="H816" s="3"/>
      <c r="I816" s="5"/>
      <c r="J816" s="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4"/>
      <c r="D817" s="3"/>
      <c r="E817" s="3"/>
      <c r="F817" s="3"/>
      <c r="G817" s="3"/>
      <c r="H817" s="3"/>
      <c r="I817" s="5"/>
      <c r="J817" s="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4"/>
      <c r="D818" s="3"/>
      <c r="E818" s="3"/>
      <c r="F818" s="3"/>
      <c r="G818" s="3"/>
      <c r="H818" s="3"/>
      <c r="I818" s="5"/>
      <c r="J818" s="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4"/>
      <c r="D819" s="3"/>
      <c r="E819" s="3"/>
      <c r="F819" s="3"/>
      <c r="G819" s="3"/>
      <c r="H819" s="3"/>
      <c r="I819" s="5"/>
      <c r="J819" s="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4"/>
      <c r="D820" s="3"/>
      <c r="E820" s="3"/>
      <c r="F820" s="3"/>
      <c r="G820" s="3"/>
      <c r="H820" s="3"/>
      <c r="I820" s="5"/>
      <c r="J820" s="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4"/>
      <c r="D821" s="3"/>
      <c r="E821" s="3"/>
      <c r="F821" s="3"/>
      <c r="G821" s="3"/>
      <c r="H821" s="3"/>
      <c r="I821" s="5"/>
      <c r="J821" s="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4"/>
      <c r="D822" s="3"/>
      <c r="E822" s="3"/>
      <c r="F822" s="3"/>
      <c r="G822" s="3"/>
      <c r="H822" s="3"/>
      <c r="I822" s="5"/>
      <c r="J822" s="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4"/>
      <c r="D823" s="3"/>
      <c r="E823" s="3"/>
      <c r="F823" s="3"/>
      <c r="G823" s="3"/>
      <c r="H823" s="3"/>
      <c r="I823" s="5"/>
      <c r="J823" s="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4"/>
      <c r="D824" s="3"/>
      <c r="E824" s="3"/>
      <c r="F824" s="3"/>
      <c r="G824" s="3"/>
      <c r="H824" s="3"/>
      <c r="I824" s="5"/>
      <c r="J824" s="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4"/>
      <c r="D825" s="3"/>
      <c r="E825" s="3"/>
      <c r="F825" s="3"/>
      <c r="G825" s="3"/>
      <c r="H825" s="3"/>
      <c r="I825" s="5"/>
      <c r="J825" s="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4"/>
      <c r="D826" s="3"/>
      <c r="E826" s="3"/>
      <c r="F826" s="3"/>
      <c r="G826" s="3"/>
      <c r="H826" s="3"/>
      <c r="I826" s="5"/>
      <c r="J826" s="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4"/>
      <c r="D827" s="3"/>
      <c r="E827" s="3"/>
      <c r="F827" s="3"/>
      <c r="G827" s="3"/>
      <c r="H827" s="3"/>
      <c r="I827" s="5"/>
      <c r="J827" s="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4"/>
      <c r="D828" s="3"/>
      <c r="E828" s="3"/>
      <c r="F828" s="3"/>
      <c r="G828" s="3"/>
      <c r="H828" s="3"/>
      <c r="I828" s="5"/>
      <c r="J828" s="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4"/>
      <c r="D829" s="3"/>
      <c r="E829" s="3"/>
      <c r="F829" s="3"/>
      <c r="G829" s="3"/>
      <c r="H829" s="3"/>
      <c r="I829" s="5"/>
      <c r="J829" s="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4"/>
      <c r="D830" s="3"/>
      <c r="E830" s="3"/>
      <c r="F830" s="3"/>
      <c r="G830" s="3"/>
      <c r="H830" s="3"/>
      <c r="I830" s="5"/>
      <c r="J830" s="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4"/>
      <c r="D831" s="3"/>
      <c r="E831" s="3"/>
      <c r="F831" s="3"/>
      <c r="G831" s="3"/>
      <c r="H831" s="3"/>
      <c r="I831" s="5"/>
      <c r="J831" s="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4"/>
      <c r="D832" s="3"/>
      <c r="E832" s="3"/>
      <c r="F832" s="3"/>
      <c r="G832" s="3"/>
      <c r="H832" s="3"/>
      <c r="I832" s="5"/>
      <c r="J832" s="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4"/>
      <c r="D833" s="3"/>
      <c r="E833" s="3"/>
      <c r="F833" s="3"/>
      <c r="G833" s="3"/>
      <c r="H833" s="3"/>
      <c r="I833" s="5"/>
      <c r="J833" s="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4"/>
      <c r="D834" s="3"/>
      <c r="E834" s="3"/>
      <c r="F834" s="3"/>
      <c r="G834" s="3"/>
      <c r="H834" s="3"/>
      <c r="I834" s="5"/>
      <c r="J834" s="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4"/>
      <c r="D835" s="3"/>
      <c r="E835" s="3"/>
      <c r="F835" s="3"/>
      <c r="G835" s="3"/>
      <c r="H835" s="3"/>
      <c r="I835" s="5"/>
      <c r="J835" s="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4"/>
      <c r="D836" s="3"/>
      <c r="E836" s="3"/>
      <c r="F836" s="3"/>
      <c r="G836" s="3"/>
      <c r="H836" s="3"/>
      <c r="I836" s="5"/>
      <c r="J836" s="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4"/>
      <c r="D837" s="3"/>
      <c r="E837" s="3"/>
      <c r="F837" s="3"/>
      <c r="G837" s="3"/>
      <c r="H837" s="3"/>
      <c r="I837" s="5"/>
      <c r="J837" s="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4"/>
      <c r="D838" s="3"/>
      <c r="E838" s="3"/>
      <c r="F838" s="3"/>
      <c r="G838" s="3"/>
      <c r="H838" s="3"/>
      <c r="I838" s="5"/>
      <c r="J838" s="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4"/>
      <c r="D839" s="3"/>
      <c r="E839" s="3"/>
      <c r="F839" s="3"/>
      <c r="G839" s="3"/>
      <c r="H839" s="3"/>
      <c r="I839" s="5"/>
      <c r="J839" s="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4"/>
      <c r="D840" s="3"/>
      <c r="E840" s="3"/>
      <c r="F840" s="3"/>
      <c r="G840" s="3"/>
      <c r="H840" s="3"/>
      <c r="I840" s="5"/>
      <c r="J840" s="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4"/>
      <c r="D841" s="3"/>
      <c r="E841" s="3"/>
      <c r="F841" s="3"/>
      <c r="G841" s="3"/>
      <c r="H841" s="3"/>
      <c r="I841" s="5"/>
      <c r="J841" s="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4"/>
      <c r="D842" s="3"/>
      <c r="E842" s="3"/>
      <c r="F842" s="3"/>
      <c r="G842" s="3"/>
      <c r="H842" s="3"/>
      <c r="I842" s="5"/>
      <c r="J842" s="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4"/>
      <c r="D843" s="3"/>
      <c r="E843" s="3"/>
      <c r="F843" s="3"/>
      <c r="G843" s="3"/>
      <c r="H843" s="3"/>
      <c r="I843" s="5"/>
      <c r="J843" s="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4"/>
      <c r="D844" s="3"/>
      <c r="E844" s="3"/>
      <c r="F844" s="3"/>
      <c r="G844" s="3"/>
      <c r="H844" s="3"/>
      <c r="I844" s="5"/>
      <c r="J844" s="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4"/>
      <c r="D845" s="3"/>
      <c r="E845" s="3"/>
      <c r="F845" s="3"/>
      <c r="G845" s="3"/>
      <c r="H845" s="3"/>
      <c r="I845" s="5"/>
      <c r="J845" s="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4"/>
      <c r="D846" s="3"/>
      <c r="E846" s="3"/>
      <c r="F846" s="3"/>
      <c r="G846" s="3"/>
      <c r="H846" s="3"/>
      <c r="I846" s="5"/>
      <c r="J846" s="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4"/>
      <c r="D847" s="3"/>
      <c r="E847" s="3"/>
      <c r="F847" s="3"/>
      <c r="G847" s="3"/>
      <c r="H847" s="3"/>
      <c r="I847" s="5"/>
      <c r="J847" s="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4"/>
      <c r="D848" s="3"/>
      <c r="E848" s="3"/>
      <c r="F848" s="3"/>
      <c r="G848" s="3"/>
      <c r="H848" s="3"/>
      <c r="I848" s="5"/>
      <c r="J848" s="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4"/>
      <c r="D849" s="3"/>
      <c r="E849" s="3"/>
      <c r="F849" s="3"/>
      <c r="G849" s="3"/>
      <c r="H849" s="3"/>
      <c r="I849" s="5"/>
      <c r="J849" s="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4"/>
      <c r="D850" s="3"/>
      <c r="E850" s="3"/>
      <c r="F850" s="3"/>
      <c r="G850" s="3"/>
      <c r="H850" s="3"/>
      <c r="I850" s="5"/>
      <c r="J850" s="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4"/>
      <c r="D851" s="3"/>
      <c r="E851" s="3"/>
      <c r="F851" s="3"/>
      <c r="G851" s="3"/>
      <c r="H851" s="3"/>
      <c r="I851" s="5"/>
      <c r="J851" s="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4"/>
      <c r="D852" s="3"/>
      <c r="E852" s="3"/>
      <c r="F852" s="3"/>
      <c r="G852" s="3"/>
      <c r="H852" s="3"/>
      <c r="I852" s="5"/>
      <c r="J852" s="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4"/>
      <c r="D853" s="3"/>
      <c r="E853" s="3"/>
      <c r="F853" s="3"/>
      <c r="G853" s="3"/>
      <c r="H853" s="3"/>
      <c r="I853" s="5"/>
      <c r="J853" s="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4"/>
      <c r="D854" s="3"/>
      <c r="E854" s="3"/>
      <c r="F854" s="3"/>
      <c r="G854" s="3"/>
      <c r="H854" s="3"/>
      <c r="I854" s="5"/>
      <c r="J854" s="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4"/>
      <c r="D855" s="3"/>
      <c r="E855" s="3"/>
      <c r="F855" s="3"/>
      <c r="G855" s="3"/>
      <c r="H855" s="3"/>
      <c r="I855" s="5"/>
      <c r="J855" s="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4"/>
      <c r="D856" s="3"/>
      <c r="E856" s="3"/>
      <c r="F856" s="3"/>
      <c r="G856" s="3"/>
      <c r="H856" s="3"/>
      <c r="I856" s="5"/>
      <c r="J856" s="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4"/>
      <c r="D857" s="3"/>
      <c r="E857" s="3"/>
      <c r="F857" s="3"/>
      <c r="G857" s="3"/>
      <c r="H857" s="3"/>
      <c r="I857" s="5"/>
      <c r="J857" s="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4"/>
      <c r="D858" s="3"/>
      <c r="E858" s="3"/>
      <c r="F858" s="3"/>
      <c r="G858" s="3"/>
      <c r="H858" s="3"/>
      <c r="I858" s="5"/>
      <c r="J858" s="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4"/>
      <c r="D859" s="3"/>
      <c r="E859" s="3"/>
      <c r="F859" s="3"/>
      <c r="G859" s="3"/>
      <c r="H859" s="3"/>
      <c r="I859" s="5"/>
      <c r="J859" s="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4"/>
      <c r="D860" s="3"/>
      <c r="E860" s="3"/>
      <c r="F860" s="3"/>
      <c r="G860" s="3"/>
      <c r="H860" s="3"/>
      <c r="I860" s="5"/>
      <c r="J860" s="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4"/>
      <c r="D861" s="3"/>
      <c r="E861" s="3"/>
      <c r="F861" s="3"/>
      <c r="G861" s="3"/>
      <c r="H861" s="3"/>
      <c r="I861" s="5"/>
      <c r="J861" s="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4"/>
      <c r="D862" s="3"/>
      <c r="E862" s="3"/>
      <c r="F862" s="3"/>
      <c r="G862" s="3"/>
      <c r="H862" s="3"/>
      <c r="I862" s="5"/>
      <c r="J862" s="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4"/>
      <c r="D863" s="3"/>
      <c r="E863" s="3"/>
      <c r="F863" s="3"/>
      <c r="G863" s="3"/>
      <c r="H863" s="3"/>
      <c r="I863" s="5"/>
      <c r="J863" s="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4"/>
      <c r="D864" s="3"/>
      <c r="E864" s="3"/>
      <c r="F864" s="3"/>
      <c r="G864" s="3"/>
      <c r="H864" s="3"/>
      <c r="I864" s="5"/>
      <c r="J864" s="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4"/>
      <c r="D865" s="3"/>
      <c r="E865" s="3"/>
      <c r="F865" s="3"/>
      <c r="G865" s="3"/>
      <c r="H865" s="3"/>
      <c r="I865" s="5"/>
      <c r="J865" s="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4"/>
      <c r="D866" s="3"/>
      <c r="E866" s="3"/>
      <c r="F866" s="3"/>
      <c r="G866" s="3"/>
      <c r="H866" s="3"/>
      <c r="I866" s="5"/>
      <c r="J866" s="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4"/>
      <c r="D867" s="3"/>
      <c r="E867" s="3"/>
      <c r="F867" s="3"/>
      <c r="G867" s="3"/>
      <c r="H867" s="3"/>
      <c r="I867" s="5"/>
      <c r="J867" s="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4"/>
      <c r="D868" s="3"/>
      <c r="E868" s="3"/>
      <c r="F868" s="3"/>
      <c r="G868" s="3"/>
      <c r="H868" s="3"/>
      <c r="I868" s="5"/>
      <c r="J868" s="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4"/>
      <c r="D869" s="3"/>
      <c r="E869" s="3"/>
      <c r="F869" s="3"/>
      <c r="G869" s="3"/>
      <c r="H869" s="3"/>
      <c r="I869" s="5"/>
      <c r="J869" s="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4"/>
      <c r="D870" s="3"/>
      <c r="E870" s="3"/>
      <c r="F870" s="3"/>
      <c r="G870" s="3"/>
      <c r="H870" s="3"/>
      <c r="I870" s="5"/>
      <c r="J870" s="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4"/>
      <c r="D871" s="3"/>
      <c r="E871" s="3"/>
      <c r="F871" s="3"/>
      <c r="G871" s="3"/>
      <c r="H871" s="3"/>
      <c r="I871" s="5"/>
      <c r="J871" s="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4"/>
      <c r="D872" s="3"/>
      <c r="E872" s="3"/>
      <c r="F872" s="3"/>
      <c r="G872" s="3"/>
      <c r="H872" s="3"/>
      <c r="I872" s="5"/>
      <c r="J872" s="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4"/>
      <c r="D873" s="3"/>
      <c r="E873" s="3"/>
      <c r="F873" s="3"/>
      <c r="G873" s="3"/>
      <c r="H873" s="3"/>
      <c r="I873" s="5"/>
      <c r="J873" s="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4"/>
      <c r="D874" s="3"/>
      <c r="E874" s="3"/>
      <c r="F874" s="3"/>
      <c r="G874" s="3"/>
      <c r="H874" s="3"/>
      <c r="I874" s="5"/>
      <c r="J874" s="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4"/>
      <c r="D875" s="3"/>
      <c r="E875" s="3"/>
      <c r="F875" s="3"/>
      <c r="G875" s="3"/>
      <c r="H875" s="3"/>
      <c r="I875" s="5"/>
      <c r="J875" s="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4"/>
      <c r="D876" s="3"/>
      <c r="E876" s="3"/>
      <c r="F876" s="3"/>
      <c r="G876" s="3"/>
      <c r="H876" s="3"/>
      <c r="I876" s="5"/>
      <c r="J876" s="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4"/>
      <c r="D877" s="3"/>
      <c r="E877" s="3"/>
      <c r="F877" s="3"/>
      <c r="G877" s="3"/>
      <c r="H877" s="3"/>
      <c r="I877" s="5"/>
      <c r="J877" s="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4"/>
      <c r="D878" s="3"/>
      <c r="E878" s="3"/>
      <c r="F878" s="3"/>
      <c r="G878" s="3"/>
      <c r="H878" s="3"/>
      <c r="I878" s="5"/>
      <c r="J878" s="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4"/>
      <c r="D879" s="3"/>
      <c r="E879" s="3"/>
      <c r="F879" s="3"/>
      <c r="G879" s="3"/>
      <c r="H879" s="3"/>
      <c r="I879" s="5"/>
      <c r="J879" s="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4"/>
      <c r="D880" s="3"/>
      <c r="E880" s="3"/>
      <c r="F880" s="3"/>
      <c r="G880" s="3"/>
      <c r="H880" s="3"/>
      <c r="I880" s="5"/>
      <c r="J880" s="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4"/>
      <c r="D881" s="3"/>
      <c r="E881" s="3"/>
      <c r="F881" s="3"/>
      <c r="G881" s="3"/>
      <c r="H881" s="3"/>
      <c r="I881" s="5"/>
      <c r="J881" s="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4"/>
      <c r="D882" s="3"/>
      <c r="E882" s="3"/>
      <c r="F882" s="3"/>
      <c r="G882" s="3"/>
      <c r="H882" s="3"/>
      <c r="I882" s="5"/>
      <c r="J882" s="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4"/>
      <c r="D883" s="3"/>
      <c r="E883" s="3"/>
      <c r="F883" s="3"/>
      <c r="G883" s="3"/>
      <c r="H883" s="3"/>
      <c r="I883" s="5"/>
      <c r="J883" s="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4"/>
      <c r="D884" s="3"/>
      <c r="E884" s="3"/>
      <c r="F884" s="3"/>
      <c r="G884" s="3"/>
      <c r="H884" s="3"/>
      <c r="I884" s="5"/>
      <c r="J884" s="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4"/>
      <c r="D885" s="3"/>
      <c r="E885" s="3"/>
      <c r="F885" s="3"/>
      <c r="G885" s="3"/>
      <c r="H885" s="3"/>
      <c r="I885" s="5"/>
      <c r="J885" s="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4"/>
      <c r="D886" s="3"/>
      <c r="E886" s="3"/>
      <c r="F886" s="3"/>
      <c r="G886" s="3"/>
      <c r="H886" s="3"/>
      <c r="I886" s="5"/>
      <c r="J886" s="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4"/>
      <c r="D887" s="3"/>
      <c r="E887" s="3"/>
      <c r="F887" s="3"/>
      <c r="G887" s="3"/>
      <c r="H887" s="3"/>
      <c r="I887" s="5"/>
      <c r="J887" s="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4"/>
      <c r="D888" s="3"/>
      <c r="E888" s="3"/>
      <c r="F888" s="3"/>
      <c r="G888" s="3"/>
      <c r="H888" s="3"/>
      <c r="I888" s="5"/>
      <c r="J888" s="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4"/>
      <c r="D889" s="3"/>
      <c r="E889" s="3"/>
      <c r="F889" s="3"/>
      <c r="G889" s="3"/>
      <c r="H889" s="3"/>
      <c r="I889" s="5"/>
      <c r="J889" s="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4"/>
      <c r="D890" s="3"/>
      <c r="E890" s="3"/>
      <c r="F890" s="3"/>
      <c r="G890" s="3"/>
      <c r="H890" s="3"/>
      <c r="I890" s="5"/>
      <c r="J890" s="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4"/>
      <c r="D891" s="3"/>
      <c r="E891" s="3"/>
      <c r="F891" s="3"/>
      <c r="G891" s="3"/>
      <c r="H891" s="3"/>
      <c r="I891" s="5"/>
      <c r="J891" s="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4"/>
      <c r="D892" s="3"/>
      <c r="E892" s="3"/>
      <c r="F892" s="3"/>
      <c r="G892" s="3"/>
      <c r="H892" s="3"/>
      <c r="I892" s="5"/>
      <c r="J892" s="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4"/>
      <c r="D893" s="3"/>
      <c r="E893" s="3"/>
      <c r="F893" s="3"/>
      <c r="G893" s="3"/>
      <c r="H893" s="3"/>
      <c r="I893" s="5"/>
      <c r="J893" s="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4"/>
      <c r="D894" s="3"/>
      <c r="E894" s="3"/>
      <c r="F894" s="3"/>
      <c r="G894" s="3"/>
      <c r="H894" s="3"/>
      <c r="I894" s="5"/>
      <c r="J894" s="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4"/>
      <c r="D895" s="3"/>
      <c r="E895" s="3"/>
      <c r="F895" s="3"/>
      <c r="G895" s="3"/>
      <c r="H895" s="3"/>
      <c r="I895" s="5"/>
      <c r="J895" s="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4"/>
      <c r="D896" s="3"/>
      <c r="E896" s="3"/>
      <c r="F896" s="3"/>
      <c r="G896" s="3"/>
      <c r="H896" s="3"/>
      <c r="I896" s="5"/>
      <c r="J896" s="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4"/>
      <c r="D897" s="3"/>
      <c r="E897" s="3"/>
      <c r="F897" s="3"/>
      <c r="G897" s="3"/>
      <c r="H897" s="3"/>
      <c r="I897" s="5"/>
      <c r="J897" s="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4"/>
      <c r="D898" s="3"/>
      <c r="E898" s="3"/>
      <c r="F898" s="3"/>
      <c r="G898" s="3"/>
      <c r="H898" s="3"/>
      <c r="I898" s="5"/>
      <c r="J898" s="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4"/>
      <c r="D899" s="3"/>
      <c r="E899" s="3"/>
      <c r="F899" s="3"/>
      <c r="G899" s="3"/>
      <c r="H899" s="3"/>
      <c r="I899" s="5"/>
      <c r="J899" s="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4"/>
      <c r="D900" s="3"/>
      <c r="E900" s="3"/>
      <c r="F900" s="3"/>
      <c r="G900" s="3"/>
      <c r="H900" s="3"/>
      <c r="I900" s="5"/>
      <c r="J900" s="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4"/>
      <c r="D901" s="3"/>
      <c r="E901" s="3"/>
      <c r="F901" s="3"/>
      <c r="G901" s="3"/>
      <c r="H901" s="3"/>
      <c r="I901" s="5"/>
      <c r="J901" s="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4"/>
      <c r="D902" s="3"/>
      <c r="E902" s="3"/>
      <c r="F902" s="3"/>
      <c r="G902" s="3"/>
      <c r="H902" s="3"/>
      <c r="I902" s="5"/>
      <c r="J902" s="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4"/>
      <c r="D903" s="3"/>
      <c r="E903" s="3"/>
      <c r="F903" s="3"/>
      <c r="G903" s="3"/>
      <c r="H903" s="3"/>
      <c r="I903" s="5"/>
      <c r="J903" s="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4"/>
      <c r="D904" s="3"/>
      <c r="E904" s="3"/>
      <c r="F904" s="3"/>
      <c r="G904" s="3"/>
      <c r="H904" s="3"/>
      <c r="I904" s="5"/>
      <c r="J904" s="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4"/>
      <c r="D905" s="3"/>
      <c r="E905" s="3"/>
      <c r="F905" s="3"/>
      <c r="G905" s="3"/>
      <c r="H905" s="3"/>
      <c r="I905" s="5"/>
      <c r="J905" s="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4"/>
      <c r="D906" s="3"/>
      <c r="E906" s="3"/>
      <c r="F906" s="3"/>
      <c r="G906" s="3"/>
      <c r="H906" s="3"/>
      <c r="I906" s="5"/>
      <c r="J906" s="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4"/>
      <c r="D907" s="3"/>
      <c r="E907" s="3"/>
      <c r="F907" s="3"/>
      <c r="G907" s="3"/>
      <c r="H907" s="3"/>
      <c r="I907" s="5"/>
      <c r="J907" s="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4"/>
      <c r="D908" s="3"/>
      <c r="E908" s="3"/>
      <c r="F908" s="3"/>
      <c r="G908" s="3"/>
      <c r="H908" s="3"/>
      <c r="I908" s="5"/>
      <c r="J908" s="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4"/>
      <c r="D909" s="3"/>
      <c r="E909" s="3"/>
      <c r="F909" s="3"/>
      <c r="G909" s="3"/>
      <c r="H909" s="3"/>
      <c r="I909" s="5"/>
      <c r="J909" s="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4"/>
      <c r="D910" s="3"/>
      <c r="E910" s="3"/>
      <c r="F910" s="3"/>
      <c r="G910" s="3"/>
      <c r="H910" s="3"/>
      <c r="I910" s="5"/>
      <c r="J910" s="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4"/>
      <c r="D911" s="3"/>
      <c r="E911" s="3"/>
      <c r="F911" s="3"/>
      <c r="G911" s="3"/>
      <c r="H911" s="3"/>
      <c r="I911" s="5"/>
      <c r="J911" s="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4"/>
      <c r="D912" s="3"/>
      <c r="E912" s="3"/>
      <c r="F912" s="3"/>
      <c r="G912" s="3"/>
      <c r="H912" s="3"/>
      <c r="I912" s="5"/>
      <c r="J912" s="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4"/>
      <c r="D913" s="3"/>
      <c r="E913" s="3"/>
      <c r="F913" s="3"/>
      <c r="G913" s="3"/>
      <c r="H913" s="3"/>
      <c r="I913" s="5"/>
      <c r="J913" s="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4"/>
      <c r="D914" s="3"/>
      <c r="E914" s="3"/>
      <c r="F914" s="3"/>
      <c r="G914" s="3"/>
      <c r="H914" s="3"/>
      <c r="I914" s="5"/>
      <c r="J914" s="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4"/>
      <c r="D915" s="3"/>
      <c r="E915" s="3"/>
      <c r="F915" s="3"/>
      <c r="G915" s="3"/>
      <c r="H915" s="3"/>
      <c r="I915" s="5"/>
      <c r="J915" s="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4"/>
      <c r="D916" s="3"/>
      <c r="E916" s="3"/>
      <c r="F916" s="3"/>
      <c r="G916" s="3"/>
      <c r="H916" s="3"/>
      <c r="I916" s="5"/>
      <c r="J916" s="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4"/>
      <c r="D917" s="3"/>
      <c r="E917" s="3"/>
      <c r="F917" s="3"/>
      <c r="G917" s="3"/>
      <c r="H917" s="3"/>
      <c r="I917" s="5"/>
      <c r="J917" s="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4"/>
      <c r="D918" s="3"/>
      <c r="E918" s="3"/>
      <c r="F918" s="3"/>
      <c r="G918" s="3"/>
      <c r="H918" s="3"/>
      <c r="I918" s="5"/>
      <c r="J918" s="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4"/>
      <c r="D919" s="3"/>
      <c r="E919" s="3"/>
      <c r="F919" s="3"/>
      <c r="G919" s="3"/>
      <c r="H919" s="3"/>
      <c r="I919" s="5"/>
      <c r="J919" s="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4"/>
      <c r="D920" s="3"/>
      <c r="E920" s="3"/>
      <c r="F920" s="3"/>
      <c r="G920" s="3"/>
      <c r="H920" s="3"/>
      <c r="I920" s="5"/>
      <c r="J920" s="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4"/>
      <c r="D921" s="3"/>
      <c r="E921" s="3"/>
      <c r="F921" s="3"/>
      <c r="G921" s="3"/>
      <c r="H921" s="3"/>
      <c r="I921" s="5"/>
      <c r="J921" s="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4"/>
      <c r="D922" s="3"/>
      <c r="E922" s="3"/>
      <c r="F922" s="3"/>
      <c r="G922" s="3"/>
      <c r="H922" s="3"/>
      <c r="I922" s="5"/>
      <c r="J922" s="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4"/>
      <c r="D923" s="3"/>
      <c r="E923" s="3"/>
      <c r="F923" s="3"/>
      <c r="G923" s="3"/>
      <c r="H923" s="3"/>
      <c r="I923" s="5"/>
      <c r="J923" s="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4"/>
      <c r="D924" s="3"/>
      <c r="E924" s="3"/>
      <c r="F924" s="3"/>
      <c r="G924" s="3"/>
      <c r="H924" s="3"/>
      <c r="I924" s="5"/>
      <c r="J924" s="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4"/>
      <c r="D925" s="3"/>
      <c r="E925" s="3"/>
      <c r="F925" s="3"/>
      <c r="G925" s="3"/>
      <c r="H925" s="3"/>
      <c r="I925" s="5"/>
      <c r="J925" s="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4"/>
      <c r="D926" s="3"/>
      <c r="E926" s="3"/>
      <c r="F926" s="3"/>
      <c r="G926" s="3"/>
      <c r="H926" s="3"/>
      <c r="I926" s="5"/>
      <c r="J926" s="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4"/>
      <c r="D927" s="3"/>
      <c r="E927" s="3"/>
      <c r="F927" s="3"/>
      <c r="G927" s="3"/>
      <c r="H927" s="3"/>
      <c r="I927" s="5"/>
      <c r="J927" s="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4"/>
      <c r="D928" s="3"/>
      <c r="E928" s="3"/>
      <c r="F928" s="3"/>
      <c r="G928" s="3"/>
      <c r="H928" s="3"/>
      <c r="I928" s="5"/>
      <c r="J928" s="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4"/>
      <c r="D929" s="3"/>
      <c r="E929" s="3"/>
      <c r="F929" s="3"/>
      <c r="G929" s="3"/>
      <c r="H929" s="3"/>
      <c r="I929" s="5"/>
      <c r="J929" s="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4"/>
      <c r="D930" s="3"/>
      <c r="E930" s="3"/>
      <c r="F930" s="3"/>
      <c r="G930" s="3"/>
      <c r="H930" s="3"/>
      <c r="I930" s="5"/>
      <c r="J930" s="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4"/>
      <c r="D931" s="3"/>
      <c r="E931" s="3"/>
      <c r="F931" s="3"/>
      <c r="G931" s="3"/>
      <c r="H931" s="3"/>
      <c r="I931" s="5"/>
      <c r="J931" s="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4"/>
      <c r="D932" s="3"/>
      <c r="E932" s="3"/>
      <c r="F932" s="3"/>
      <c r="G932" s="3"/>
      <c r="H932" s="3"/>
      <c r="I932" s="5"/>
      <c r="J932" s="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4"/>
      <c r="D933" s="3"/>
      <c r="E933" s="3"/>
      <c r="F933" s="3"/>
      <c r="G933" s="3"/>
      <c r="H933" s="3"/>
      <c r="I933" s="5"/>
      <c r="J933" s="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4"/>
      <c r="D934" s="3"/>
      <c r="E934" s="3"/>
      <c r="F934" s="3"/>
      <c r="G934" s="3"/>
      <c r="H934" s="3"/>
      <c r="I934" s="5"/>
      <c r="J934" s="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4"/>
      <c r="D935" s="3"/>
      <c r="E935" s="3"/>
      <c r="F935" s="3"/>
      <c r="G935" s="3"/>
      <c r="H935" s="3"/>
      <c r="I935" s="5"/>
      <c r="J935" s="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4"/>
      <c r="D936" s="3"/>
      <c r="E936" s="3"/>
      <c r="F936" s="3"/>
      <c r="G936" s="3"/>
      <c r="H936" s="3"/>
      <c r="I936" s="5"/>
      <c r="J936" s="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4"/>
      <c r="D937" s="3"/>
      <c r="E937" s="3"/>
      <c r="F937" s="3"/>
      <c r="G937" s="3"/>
      <c r="H937" s="3"/>
      <c r="I937" s="5"/>
      <c r="J937" s="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4"/>
      <c r="D938" s="3"/>
      <c r="E938" s="3"/>
      <c r="F938" s="3"/>
      <c r="G938" s="3"/>
      <c r="H938" s="3"/>
      <c r="I938" s="5"/>
      <c r="J938" s="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4"/>
      <c r="D939" s="3"/>
      <c r="E939" s="3"/>
      <c r="F939" s="3"/>
      <c r="G939" s="3"/>
      <c r="H939" s="3"/>
      <c r="I939" s="5"/>
      <c r="J939" s="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4"/>
      <c r="D940" s="3"/>
      <c r="E940" s="3"/>
      <c r="F940" s="3"/>
      <c r="G940" s="3"/>
      <c r="H940" s="3"/>
      <c r="I940" s="5"/>
      <c r="J940" s="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4"/>
      <c r="D941" s="3"/>
      <c r="E941" s="3"/>
      <c r="F941" s="3"/>
      <c r="G941" s="3"/>
      <c r="H941" s="3"/>
      <c r="I941" s="5"/>
      <c r="J941" s="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4"/>
      <c r="D942" s="3"/>
      <c r="E942" s="3"/>
      <c r="F942" s="3"/>
      <c r="G942" s="3"/>
      <c r="H942" s="3"/>
      <c r="I942" s="5"/>
      <c r="J942" s="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4"/>
      <c r="D943" s="3"/>
      <c r="E943" s="3"/>
      <c r="F943" s="3"/>
      <c r="G943" s="3"/>
      <c r="H943" s="3"/>
      <c r="I943" s="5"/>
      <c r="J943" s="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4"/>
      <c r="D944" s="3"/>
      <c r="E944" s="3"/>
      <c r="F944" s="3"/>
      <c r="G944" s="3"/>
      <c r="H944" s="3"/>
      <c r="I944" s="5"/>
      <c r="J944" s="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4"/>
      <c r="D945" s="3"/>
      <c r="E945" s="3"/>
      <c r="F945" s="3"/>
      <c r="G945" s="3"/>
      <c r="H945" s="3"/>
      <c r="I945" s="5"/>
      <c r="J945" s="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4"/>
      <c r="D946" s="3"/>
      <c r="E946" s="3"/>
      <c r="F946" s="3"/>
      <c r="G946" s="3"/>
      <c r="H946" s="3"/>
      <c r="I946" s="5"/>
      <c r="J946" s="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4"/>
      <c r="D947" s="3"/>
      <c r="E947" s="3"/>
      <c r="F947" s="3"/>
      <c r="G947" s="3"/>
      <c r="H947" s="3"/>
      <c r="I947" s="5"/>
      <c r="J947" s="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4"/>
      <c r="D948" s="3"/>
      <c r="E948" s="3"/>
      <c r="F948" s="3"/>
      <c r="G948" s="3"/>
      <c r="H948" s="3"/>
      <c r="I948" s="5"/>
      <c r="J948" s="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4"/>
      <c r="D949" s="3"/>
      <c r="E949" s="3"/>
      <c r="F949" s="3"/>
      <c r="G949" s="3"/>
      <c r="H949" s="3"/>
      <c r="I949" s="5"/>
      <c r="J949" s="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4"/>
      <c r="D950" s="3"/>
      <c r="E950" s="3"/>
      <c r="F950" s="3"/>
      <c r="G950" s="3"/>
      <c r="H950" s="3"/>
      <c r="I950" s="5"/>
      <c r="J950" s="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4"/>
      <c r="D951" s="3"/>
      <c r="E951" s="3"/>
      <c r="F951" s="3"/>
      <c r="G951" s="3"/>
      <c r="H951" s="3"/>
      <c r="I951" s="5"/>
      <c r="J951" s="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4"/>
      <c r="D952" s="3"/>
      <c r="E952" s="3"/>
      <c r="F952" s="3"/>
      <c r="G952" s="3"/>
      <c r="H952" s="3"/>
      <c r="I952" s="5"/>
      <c r="J952" s="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4"/>
      <c r="D953" s="3"/>
      <c r="E953" s="3"/>
      <c r="F953" s="3"/>
      <c r="G953" s="3"/>
      <c r="H953" s="3"/>
      <c r="I953" s="5"/>
      <c r="J953" s="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4"/>
      <c r="D954" s="3"/>
      <c r="E954" s="3"/>
      <c r="F954" s="3"/>
      <c r="G954" s="3"/>
      <c r="H954" s="3"/>
      <c r="I954" s="5"/>
      <c r="J954" s="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4"/>
      <c r="D955" s="3"/>
      <c r="E955" s="3"/>
      <c r="F955" s="3"/>
      <c r="G955" s="3"/>
      <c r="H955" s="3"/>
      <c r="I955" s="5"/>
      <c r="J955" s="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4"/>
      <c r="D956" s="3"/>
      <c r="E956" s="3"/>
      <c r="F956" s="3"/>
      <c r="G956" s="3"/>
      <c r="H956" s="3"/>
      <c r="I956" s="5"/>
      <c r="J956" s="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4"/>
      <c r="D957" s="3"/>
      <c r="E957" s="3"/>
      <c r="F957" s="3"/>
      <c r="G957" s="3"/>
      <c r="H957" s="3"/>
      <c r="I957" s="5"/>
      <c r="J957" s="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4"/>
      <c r="D958" s="3"/>
      <c r="E958" s="3"/>
      <c r="F958" s="3"/>
      <c r="G958" s="3"/>
      <c r="H958" s="3"/>
      <c r="I958" s="5"/>
      <c r="J958" s="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4"/>
      <c r="D959" s="3"/>
      <c r="E959" s="3"/>
      <c r="F959" s="3"/>
      <c r="G959" s="3"/>
      <c r="H959" s="3"/>
      <c r="I959" s="5"/>
      <c r="J959" s="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4"/>
      <c r="D960" s="3"/>
      <c r="E960" s="3"/>
      <c r="F960" s="3"/>
      <c r="G960" s="3"/>
      <c r="H960" s="3"/>
      <c r="I960" s="5"/>
      <c r="J960" s="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4"/>
      <c r="D961" s="3"/>
      <c r="E961" s="3"/>
      <c r="F961" s="3"/>
      <c r="G961" s="3"/>
      <c r="H961" s="3"/>
      <c r="I961" s="5"/>
      <c r="J961" s="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4"/>
      <c r="D962" s="3"/>
      <c r="E962" s="3"/>
      <c r="F962" s="3"/>
      <c r="G962" s="3"/>
      <c r="H962" s="3"/>
      <c r="I962" s="5"/>
      <c r="J962" s="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4"/>
      <c r="D963" s="3"/>
      <c r="E963" s="3"/>
      <c r="F963" s="3"/>
      <c r="G963" s="3"/>
      <c r="H963" s="3"/>
      <c r="I963" s="5"/>
      <c r="J963" s="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4"/>
      <c r="D964" s="3"/>
      <c r="E964" s="3"/>
      <c r="F964" s="3"/>
      <c r="G964" s="3"/>
      <c r="H964" s="3"/>
      <c r="I964" s="5"/>
      <c r="J964" s="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4"/>
      <c r="D965" s="3"/>
      <c r="E965" s="3"/>
      <c r="F965" s="3"/>
      <c r="G965" s="3"/>
      <c r="H965" s="3"/>
      <c r="I965" s="5"/>
      <c r="J965" s="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4"/>
      <c r="D966" s="3"/>
      <c r="E966" s="3"/>
      <c r="F966" s="3"/>
      <c r="G966" s="3"/>
      <c r="H966" s="3"/>
      <c r="I966" s="5"/>
      <c r="J966" s="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4"/>
      <c r="D967" s="3"/>
      <c r="E967" s="3"/>
      <c r="F967" s="3"/>
      <c r="G967" s="3"/>
      <c r="H967" s="3"/>
      <c r="I967" s="5"/>
      <c r="J967" s="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4"/>
      <c r="D968" s="3"/>
      <c r="E968" s="3"/>
      <c r="F968" s="3"/>
      <c r="G968" s="3"/>
      <c r="H968" s="3"/>
      <c r="I968" s="5"/>
      <c r="J968" s="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4"/>
      <c r="D969" s="3"/>
      <c r="E969" s="3"/>
      <c r="F969" s="3"/>
      <c r="G969" s="3"/>
      <c r="H969" s="3"/>
      <c r="I969" s="5"/>
      <c r="J969" s="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4"/>
      <c r="D970" s="3"/>
      <c r="E970" s="3"/>
      <c r="F970" s="3"/>
      <c r="G970" s="3"/>
      <c r="H970" s="3"/>
      <c r="I970" s="5"/>
      <c r="J970" s="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4"/>
      <c r="D971" s="3"/>
      <c r="E971" s="3"/>
      <c r="F971" s="3"/>
      <c r="G971" s="3"/>
      <c r="H971" s="3"/>
      <c r="I971" s="5"/>
      <c r="J971" s="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4"/>
      <c r="D972" s="3"/>
      <c r="E972" s="3"/>
      <c r="F972" s="3"/>
      <c r="G972" s="3"/>
      <c r="H972" s="3"/>
      <c r="I972" s="5"/>
      <c r="J972" s="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4"/>
      <c r="D973" s="3"/>
      <c r="E973" s="3"/>
      <c r="F973" s="3"/>
      <c r="G973" s="3"/>
      <c r="H973" s="3"/>
      <c r="I973" s="5"/>
      <c r="J973" s="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4"/>
      <c r="D974" s="3"/>
      <c r="E974" s="3"/>
      <c r="F974" s="3"/>
      <c r="G974" s="3"/>
      <c r="H974" s="3"/>
      <c r="I974" s="5"/>
      <c r="J974" s="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4"/>
      <c r="D975" s="3"/>
      <c r="E975" s="3"/>
      <c r="F975" s="3"/>
      <c r="G975" s="3"/>
      <c r="H975" s="3"/>
      <c r="I975" s="5"/>
      <c r="J975" s="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4"/>
      <c r="D976" s="3"/>
      <c r="E976" s="3"/>
      <c r="F976" s="3"/>
      <c r="G976" s="3"/>
      <c r="H976" s="3"/>
      <c r="I976" s="5"/>
      <c r="J976" s="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4"/>
      <c r="D977" s="3"/>
      <c r="E977" s="3"/>
      <c r="F977" s="3"/>
      <c r="G977" s="3"/>
      <c r="H977" s="3"/>
      <c r="I977" s="5"/>
      <c r="J977" s="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4"/>
      <c r="D978" s="3"/>
      <c r="E978" s="3"/>
      <c r="F978" s="3"/>
      <c r="G978" s="3"/>
      <c r="H978" s="3"/>
      <c r="I978" s="5"/>
      <c r="J978" s="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4"/>
      <c r="D979" s="3"/>
      <c r="E979" s="3"/>
      <c r="F979" s="3"/>
      <c r="G979" s="3"/>
      <c r="H979" s="3"/>
      <c r="I979" s="5"/>
      <c r="J979" s="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4"/>
      <c r="D980" s="3"/>
      <c r="E980" s="3"/>
      <c r="F980" s="3"/>
      <c r="G980" s="3"/>
      <c r="H980" s="3"/>
      <c r="I980" s="5"/>
      <c r="J980" s="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4"/>
      <c r="D981" s="3"/>
      <c r="E981" s="3"/>
      <c r="F981" s="3"/>
      <c r="G981" s="3"/>
      <c r="H981" s="3"/>
      <c r="I981" s="5"/>
      <c r="J981" s="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4"/>
      <c r="D982" s="3"/>
      <c r="E982" s="3"/>
      <c r="F982" s="3"/>
      <c r="G982" s="3"/>
      <c r="H982" s="3"/>
      <c r="I982" s="5"/>
      <c r="J982" s="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4"/>
      <c r="D983" s="3"/>
      <c r="E983" s="3"/>
      <c r="F983" s="3"/>
      <c r="G983" s="3"/>
      <c r="H983" s="3"/>
      <c r="I983" s="5"/>
      <c r="J983" s="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4"/>
      <c r="D984" s="3"/>
      <c r="E984" s="3"/>
      <c r="F984" s="3"/>
      <c r="G984" s="3"/>
      <c r="H984" s="3"/>
      <c r="I984" s="5"/>
      <c r="J984" s="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4"/>
      <c r="D985" s="3"/>
      <c r="E985" s="3"/>
      <c r="F985" s="3"/>
      <c r="G985" s="3"/>
      <c r="H985" s="3"/>
      <c r="I985" s="5"/>
      <c r="J985" s="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4"/>
      <c r="D986" s="3"/>
      <c r="E986" s="3"/>
      <c r="F986" s="3"/>
      <c r="G986" s="3"/>
      <c r="H986" s="3"/>
      <c r="I986" s="5"/>
      <c r="J986" s="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4"/>
      <c r="D987" s="3"/>
      <c r="E987" s="3"/>
      <c r="F987" s="3"/>
      <c r="G987" s="3"/>
      <c r="H987" s="3"/>
      <c r="I987" s="5"/>
      <c r="J987" s="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4"/>
      <c r="D988" s="3"/>
      <c r="E988" s="3"/>
      <c r="F988" s="3"/>
      <c r="G988" s="3"/>
      <c r="H988" s="3"/>
      <c r="I988" s="5"/>
      <c r="J988" s="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4"/>
      <c r="D989" s="3"/>
      <c r="E989" s="3"/>
      <c r="F989" s="3"/>
      <c r="G989" s="3"/>
      <c r="H989" s="3"/>
      <c r="I989" s="5"/>
      <c r="J989" s="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4"/>
      <c r="D990" s="3"/>
      <c r="E990" s="3"/>
      <c r="F990" s="3"/>
      <c r="G990" s="3"/>
      <c r="H990" s="3"/>
      <c r="I990" s="5"/>
      <c r="J990" s="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4"/>
      <c r="D991" s="3"/>
      <c r="E991" s="3"/>
      <c r="F991" s="3"/>
      <c r="G991" s="3"/>
      <c r="H991" s="3"/>
      <c r="I991" s="5"/>
      <c r="J991" s="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4"/>
      <c r="D992" s="3"/>
      <c r="E992" s="3"/>
      <c r="F992" s="3"/>
      <c r="G992" s="3"/>
      <c r="H992" s="3"/>
      <c r="I992" s="5"/>
      <c r="J992" s="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4"/>
      <c r="D993" s="3"/>
      <c r="E993" s="3"/>
      <c r="F993" s="3"/>
      <c r="G993" s="3"/>
      <c r="H993" s="3"/>
      <c r="I993" s="5"/>
      <c r="J993" s="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4"/>
      <c r="D994" s="3"/>
      <c r="E994" s="3"/>
      <c r="F994" s="3"/>
      <c r="G994" s="3"/>
      <c r="H994" s="3"/>
      <c r="I994" s="5"/>
      <c r="J994" s="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4"/>
      <c r="D995" s="3"/>
      <c r="E995" s="3"/>
      <c r="F995" s="3"/>
      <c r="G995" s="3"/>
      <c r="H995" s="3"/>
      <c r="I995" s="5"/>
      <c r="J995" s="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4"/>
      <c r="D996" s="3"/>
      <c r="E996" s="3"/>
      <c r="F996" s="3"/>
      <c r="G996" s="3"/>
      <c r="H996" s="3"/>
      <c r="I996" s="5"/>
      <c r="J996" s="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4"/>
      <c r="D997" s="3"/>
      <c r="E997" s="3"/>
      <c r="F997" s="3"/>
      <c r="G997" s="3"/>
      <c r="H997" s="3"/>
      <c r="I997" s="5"/>
      <c r="J997" s="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mergeCells count="28">
    <mergeCell ref="B2:C2"/>
    <mergeCell ref="E2:G2"/>
    <mergeCell ref="K2:L2"/>
    <mergeCell ref="E4:G4"/>
    <mergeCell ref="E5:G7"/>
    <mergeCell ref="E9:G9"/>
    <mergeCell ref="E10:G14"/>
    <mergeCell ref="B56:C56"/>
    <mergeCell ref="B57:C58"/>
    <mergeCell ref="B60:C66"/>
    <mergeCell ref="E37:G43"/>
    <mergeCell ref="B45:C45"/>
    <mergeCell ref="E45:G45"/>
    <mergeCell ref="B48:C48"/>
    <mergeCell ref="B49:C50"/>
    <mergeCell ref="B52:C52"/>
    <mergeCell ref="B53:C54"/>
    <mergeCell ref="E46:G58"/>
    <mergeCell ref="E60:G60"/>
    <mergeCell ref="E61:G62"/>
    <mergeCell ref="E63:G66"/>
    <mergeCell ref="E16:G16"/>
    <mergeCell ref="E17:G21"/>
    <mergeCell ref="E23:G23"/>
    <mergeCell ref="E24:G27"/>
    <mergeCell ref="E29:G29"/>
    <mergeCell ref="E30:G34"/>
    <mergeCell ref="E36:G36"/>
  </mergeCells>
  <dataValidations>
    <dataValidation type="list" allowBlank="1" showErrorMessage="1" sqref="E61">
      <formula1>"Aprovado,Aprovado com restrições,Nova avaliação,Reprovado"</formula1>
    </dataValidation>
    <dataValidation type="list" allowBlank="1" showErrorMessage="1" sqref="C10:C14 C17:C21 C24:C27 C30:C34 C37:C43">
      <formula1>"1,2,3,4,5"</formula1>
    </dataValidation>
    <dataValidation type="list" allowBlank="1" showErrorMessage="1" sqref="C46">
      <formula1>"Sim,Não,Parialmente"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.13"/>
    <col customWidth="1" min="2" max="2" width="19.38"/>
    <col customWidth="1" min="3" max="3" width="21.88"/>
    <col customWidth="1" min="4" max="4" width="19.75"/>
    <col customWidth="1" min="5" max="5" width="26.5"/>
    <col customWidth="1" min="6" max="6" width="23.75"/>
    <col customWidth="1" min="7" max="8" width="21.25"/>
    <col customWidth="1" min="9" max="9" width="21.13"/>
    <col customWidth="1" min="10" max="10" width="33.13"/>
    <col customWidth="1" min="11" max="11" width="3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1"/>
      <c r="C3" s="13"/>
      <c r="D3" s="13"/>
      <c r="E3" s="13"/>
      <c r="F3" s="13"/>
      <c r="G3" s="13"/>
      <c r="H3" s="13"/>
      <c r="I3" s="13"/>
      <c r="J3" s="13"/>
      <c r="K3" s="1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7"/>
      <c r="F4" s="17"/>
      <c r="G4" s="17"/>
      <c r="H4" s="1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0" t="s">
        <v>5</v>
      </c>
      <c r="C5" s="9"/>
      <c r="D5" s="17"/>
      <c r="E5" s="21" t="s">
        <v>6</v>
      </c>
      <c r="F5" s="23">
        <f>COUNTIF($E$15:$E$133,"Aprovado")</f>
        <v>1</v>
      </c>
      <c r="G5" s="24">
        <f t="shared" ref="G5:G11" si="1">F5/$B$7</f>
        <v>0.3333333333</v>
      </c>
      <c r="H5" s="1"/>
      <c r="I5" s="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1"/>
      <c r="C6" s="15"/>
      <c r="D6" s="17"/>
      <c r="E6" s="25" t="s">
        <v>7</v>
      </c>
      <c r="F6" s="27">
        <f>COUNTIF($E$15:$E$133,"Aprovado com restrição")</f>
        <v>1</v>
      </c>
      <c r="G6" s="30">
        <f t="shared" si="1"/>
        <v>0.3333333333</v>
      </c>
      <c r="H6" s="1"/>
      <c r="I6" s="1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33">
        <f>COUNTA(D:D)-1</f>
        <v>3</v>
      </c>
      <c r="C7" s="34"/>
      <c r="D7" s="17"/>
      <c r="E7" s="25" t="s">
        <v>11</v>
      </c>
      <c r="F7" s="27">
        <f>COUNTIF($E$15:$E$133,"Nova avaliação")</f>
        <v>1</v>
      </c>
      <c r="G7" s="30">
        <f t="shared" si="1"/>
        <v>0.3333333333</v>
      </c>
      <c r="H7" s="1"/>
      <c r="I7" s="1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36"/>
      <c r="C8" s="34"/>
      <c r="D8" s="17"/>
      <c r="E8" s="37" t="s">
        <v>17</v>
      </c>
      <c r="F8" s="38">
        <f>COUNTIF($E$15:$E$133,"Reprovado")</f>
        <v>0</v>
      </c>
      <c r="G8" s="39">
        <f t="shared" si="1"/>
        <v>0</v>
      </c>
      <c r="H8" s="1"/>
      <c r="I8" s="1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36"/>
      <c r="C9" s="34"/>
      <c r="D9" s="17"/>
      <c r="E9" s="21" t="s">
        <v>23</v>
      </c>
      <c r="F9" s="23">
        <f>COUNTIF($H$15:$H$133,"Não, dono desistiu")</f>
        <v>0</v>
      </c>
      <c r="G9" s="24">
        <f t="shared" si="1"/>
        <v>0</v>
      </c>
      <c r="H9" s="1"/>
      <c r="I9" s="1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36"/>
      <c r="C10" s="34"/>
      <c r="D10" s="1"/>
      <c r="E10" s="25" t="s">
        <v>27</v>
      </c>
      <c r="F10" s="27">
        <f>COUNTIF($H$15:$H$133,"Sim")</f>
        <v>3</v>
      </c>
      <c r="G10" s="30">
        <f t="shared" si="1"/>
        <v>1</v>
      </c>
      <c r="H10" s="1"/>
      <c r="I10" s="1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1"/>
      <c r="C11" s="15"/>
      <c r="D11" s="1"/>
      <c r="E11" s="37" t="s">
        <v>34</v>
      </c>
      <c r="F11" s="38">
        <f>COUNTIF($H$15:$H$133,"Não")</f>
        <v>0</v>
      </c>
      <c r="G11" s="39">
        <f t="shared" si="1"/>
        <v>0</v>
      </c>
      <c r="H11" s="1"/>
      <c r="I11" s="1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>
      <c r="A13" s="44"/>
      <c r="B13" s="45"/>
      <c r="C13" s="45"/>
      <c r="D13" s="45"/>
      <c r="E13" s="46"/>
      <c r="F13" s="46"/>
      <c r="G13" s="46"/>
      <c r="H13" s="45"/>
      <c r="I13" s="45"/>
      <c r="J13" s="45"/>
      <c r="K13" s="45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ht="39.0" customHeight="1">
      <c r="A14" s="44"/>
      <c r="B14" s="47" t="s">
        <v>32</v>
      </c>
      <c r="C14" s="48" t="s">
        <v>10</v>
      </c>
      <c r="D14" s="48" t="s">
        <v>47</v>
      </c>
      <c r="E14" s="48" t="s">
        <v>48</v>
      </c>
      <c r="F14" s="48" t="s">
        <v>50</v>
      </c>
      <c r="G14" s="48" t="s">
        <v>51</v>
      </c>
      <c r="H14" s="48" t="s">
        <v>52</v>
      </c>
      <c r="I14" s="48" t="s">
        <v>53</v>
      </c>
      <c r="J14" s="48" t="s">
        <v>54</v>
      </c>
      <c r="K14" s="50" t="s">
        <v>55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>
      <c r="A15" s="1"/>
      <c r="B15" s="51">
        <v>46220.0</v>
      </c>
      <c r="C15" s="53" t="s">
        <v>65</v>
      </c>
      <c r="D15" s="55" t="s">
        <v>68</v>
      </c>
      <c r="E15" s="55" t="s">
        <v>79</v>
      </c>
      <c r="F15" s="55" t="s">
        <v>80</v>
      </c>
      <c r="G15" s="55" t="s">
        <v>81</v>
      </c>
      <c r="H15" s="55" t="s">
        <v>82</v>
      </c>
      <c r="I15" s="55" t="s">
        <v>84</v>
      </c>
      <c r="J15" s="55" t="s">
        <v>88</v>
      </c>
      <c r="K15" s="55" t="s">
        <v>90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65"/>
      <c r="B16" s="66">
        <v>46225.0</v>
      </c>
      <c r="C16" s="67" t="s">
        <v>93</v>
      </c>
      <c r="D16" s="68" t="s">
        <v>95</v>
      </c>
      <c r="E16" s="68" t="s">
        <v>97</v>
      </c>
      <c r="F16" s="68" t="s">
        <v>98</v>
      </c>
      <c r="G16" s="68" t="s">
        <v>81</v>
      </c>
      <c r="H16" s="68" t="s">
        <v>82</v>
      </c>
      <c r="I16" s="68" t="s">
        <v>84</v>
      </c>
      <c r="J16" s="68" t="s">
        <v>102</v>
      </c>
      <c r="K16" s="68" t="s">
        <v>103</v>
      </c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</row>
    <row r="17">
      <c r="A17" s="1"/>
      <c r="B17" s="51">
        <v>46225.0</v>
      </c>
      <c r="C17" s="53" t="s">
        <v>108</v>
      </c>
      <c r="D17" s="55" t="s">
        <v>110</v>
      </c>
      <c r="E17" s="55" t="s">
        <v>112</v>
      </c>
      <c r="F17" s="55" t="s">
        <v>98</v>
      </c>
      <c r="G17" s="55" t="s">
        <v>81</v>
      </c>
      <c r="H17" s="55" t="s">
        <v>82</v>
      </c>
      <c r="I17" s="55" t="s">
        <v>84</v>
      </c>
      <c r="J17" s="55" t="s">
        <v>116</v>
      </c>
      <c r="K17" s="55" t="s">
        <v>117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75"/>
      <c r="C18" s="76"/>
      <c r="D18" s="75"/>
      <c r="E18" s="75"/>
      <c r="F18" s="75"/>
      <c r="G18" s="75"/>
      <c r="H18" s="75"/>
      <c r="I18" s="75"/>
      <c r="J18" s="75"/>
      <c r="K18" s="7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77"/>
      <c r="C19" s="78"/>
      <c r="D19" s="77"/>
      <c r="E19" s="77"/>
      <c r="F19" s="77"/>
      <c r="G19" s="77"/>
      <c r="H19" s="77"/>
      <c r="I19" s="77"/>
      <c r="J19" s="77"/>
      <c r="K19" s="7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75"/>
      <c r="C20" s="76"/>
      <c r="D20" s="75"/>
      <c r="E20" s="75"/>
      <c r="F20" s="75"/>
      <c r="G20" s="75"/>
      <c r="H20" s="75"/>
      <c r="I20" s="75"/>
      <c r="J20" s="75"/>
      <c r="K20" s="7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77"/>
      <c r="C21" s="78"/>
      <c r="D21" s="77"/>
      <c r="E21" s="77"/>
      <c r="F21" s="77"/>
      <c r="G21" s="77"/>
      <c r="H21" s="77"/>
      <c r="I21" s="77"/>
      <c r="J21" s="77"/>
      <c r="K21" s="7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75"/>
      <c r="C22" s="76"/>
      <c r="D22" s="75"/>
      <c r="E22" s="75"/>
      <c r="F22" s="75"/>
      <c r="G22" s="75"/>
      <c r="H22" s="75"/>
      <c r="I22" s="75"/>
      <c r="J22" s="75"/>
      <c r="K22" s="7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77"/>
      <c r="C23" s="78"/>
      <c r="D23" s="77"/>
      <c r="E23" s="77"/>
      <c r="F23" s="77"/>
      <c r="G23" s="77"/>
      <c r="H23" s="77"/>
      <c r="I23" s="77"/>
      <c r="J23" s="77"/>
      <c r="K23" s="7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75"/>
      <c r="C24" s="76"/>
      <c r="D24" s="75"/>
      <c r="E24" s="75"/>
      <c r="F24" s="75"/>
      <c r="G24" s="75"/>
      <c r="H24" s="75"/>
      <c r="I24" s="75"/>
      <c r="J24" s="75"/>
      <c r="K24" s="7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77"/>
      <c r="C25" s="78"/>
      <c r="D25" s="77"/>
      <c r="E25" s="77"/>
      <c r="F25" s="77"/>
      <c r="G25" s="77"/>
      <c r="H25" s="77"/>
      <c r="I25" s="77"/>
      <c r="J25" s="77"/>
      <c r="K25" s="7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75"/>
      <c r="C26" s="76"/>
      <c r="D26" s="75"/>
      <c r="E26" s="75"/>
      <c r="F26" s="75"/>
      <c r="G26" s="75"/>
      <c r="H26" s="75"/>
      <c r="I26" s="75"/>
      <c r="J26" s="75"/>
      <c r="K26" s="7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77"/>
      <c r="C27" s="78"/>
      <c r="D27" s="77"/>
      <c r="E27" s="77"/>
      <c r="F27" s="77"/>
      <c r="G27" s="77"/>
      <c r="H27" s="77"/>
      <c r="I27" s="77"/>
      <c r="J27" s="77"/>
      <c r="K27" s="7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75"/>
      <c r="C28" s="76"/>
      <c r="D28" s="75"/>
      <c r="E28" s="75"/>
      <c r="F28" s="75"/>
      <c r="G28" s="75"/>
      <c r="H28" s="75"/>
      <c r="I28" s="75"/>
      <c r="J28" s="75"/>
      <c r="K28" s="7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77"/>
      <c r="C29" s="78"/>
      <c r="D29" s="77"/>
      <c r="E29" s="77"/>
      <c r="F29" s="77"/>
      <c r="G29" s="77"/>
      <c r="H29" s="77"/>
      <c r="I29" s="77"/>
      <c r="J29" s="77"/>
      <c r="K29" s="7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75"/>
      <c r="C30" s="76"/>
      <c r="D30" s="75"/>
      <c r="E30" s="75"/>
      <c r="F30" s="75"/>
      <c r="G30" s="75"/>
      <c r="H30" s="75"/>
      <c r="I30" s="75"/>
      <c r="J30" s="75"/>
      <c r="K30" s="7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77"/>
      <c r="C31" s="78"/>
      <c r="D31" s="77"/>
      <c r="E31" s="77"/>
      <c r="F31" s="77"/>
      <c r="G31" s="77"/>
      <c r="H31" s="77"/>
      <c r="I31" s="77"/>
      <c r="J31" s="77"/>
      <c r="K31" s="7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75"/>
      <c r="C32" s="76"/>
      <c r="D32" s="75"/>
      <c r="E32" s="75"/>
      <c r="F32" s="75"/>
      <c r="G32" s="75"/>
      <c r="H32" s="75"/>
      <c r="I32" s="75"/>
      <c r="J32" s="75"/>
      <c r="K32" s="7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77"/>
      <c r="C33" s="78"/>
      <c r="D33" s="77"/>
      <c r="E33" s="77"/>
      <c r="F33" s="77"/>
      <c r="G33" s="77"/>
      <c r="H33" s="77"/>
      <c r="I33" s="77"/>
      <c r="J33" s="77"/>
      <c r="K33" s="7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75"/>
      <c r="C34" s="76"/>
      <c r="D34" s="75"/>
      <c r="E34" s="75"/>
      <c r="F34" s="75"/>
      <c r="G34" s="75"/>
      <c r="H34" s="75"/>
      <c r="I34" s="75"/>
      <c r="J34" s="75"/>
      <c r="K34" s="7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77"/>
      <c r="C35" s="78"/>
      <c r="D35" s="77"/>
      <c r="E35" s="77"/>
      <c r="F35" s="77"/>
      <c r="G35" s="77"/>
      <c r="H35" s="77"/>
      <c r="I35" s="77"/>
      <c r="J35" s="77"/>
      <c r="K35" s="7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75"/>
      <c r="C36" s="76"/>
      <c r="D36" s="75"/>
      <c r="E36" s="75"/>
      <c r="F36" s="75"/>
      <c r="G36" s="75"/>
      <c r="H36" s="75"/>
      <c r="I36" s="75"/>
      <c r="J36" s="75"/>
      <c r="K36" s="7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77"/>
      <c r="C37" s="78"/>
      <c r="D37" s="77"/>
      <c r="E37" s="77"/>
      <c r="F37" s="77"/>
      <c r="G37" s="77"/>
      <c r="H37" s="77"/>
      <c r="I37" s="77"/>
      <c r="J37" s="77"/>
      <c r="K37" s="7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75"/>
      <c r="C38" s="76"/>
      <c r="D38" s="75"/>
      <c r="E38" s="75"/>
      <c r="F38" s="75"/>
      <c r="G38" s="75"/>
      <c r="H38" s="75"/>
      <c r="I38" s="75"/>
      <c r="J38" s="75"/>
      <c r="K38" s="7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77"/>
      <c r="C39" s="78"/>
      <c r="D39" s="77"/>
      <c r="E39" s="77"/>
      <c r="F39" s="77"/>
      <c r="G39" s="77"/>
      <c r="H39" s="77"/>
      <c r="I39" s="77"/>
      <c r="J39" s="77"/>
      <c r="K39" s="7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75"/>
      <c r="C40" s="76"/>
      <c r="D40" s="75"/>
      <c r="E40" s="75"/>
      <c r="F40" s="75"/>
      <c r="G40" s="75"/>
      <c r="H40" s="75"/>
      <c r="I40" s="75"/>
      <c r="J40" s="75"/>
      <c r="K40" s="7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77"/>
      <c r="C41" s="78"/>
      <c r="D41" s="77"/>
      <c r="E41" s="77"/>
      <c r="F41" s="77"/>
      <c r="G41" s="77"/>
      <c r="H41" s="77"/>
      <c r="I41" s="77"/>
      <c r="J41" s="77"/>
      <c r="K41" s="7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75"/>
      <c r="C42" s="76"/>
      <c r="D42" s="75"/>
      <c r="E42" s="75"/>
      <c r="F42" s="75"/>
      <c r="G42" s="75"/>
      <c r="H42" s="75"/>
      <c r="I42" s="75"/>
      <c r="J42" s="75"/>
      <c r="K42" s="7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77"/>
      <c r="C43" s="78"/>
      <c r="D43" s="77"/>
      <c r="E43" s="77"/>
      <c r="F43" s="77"/>
      <c r="G43" s="77"/>
      <c r="H43" s="77"/>
      <c r="I43" s="77"/>
      <c r="J43" s="77"/>
      <c r="K43" s="7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75"/>
      <c r="C44" s="76"/>
      <c r="D44" s="75"/>
      <c r="E44" s="75"/>
      <c r="F44" s="75"/>
      <c r="G44" s="75"/>
      <c r="H44" s="75"/>
      <c r="I44" s="75"/>
      <c r="J44" s="75"/>
      <c r="K44" s="7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77"/>
      <c r="C45" s="78"/>
      <c r="D45" s="77"/>
      <c r="E45" s="77"/>
      <c r="F45" s="77"/>
      <c r="G45" s="77"/>
      <c r="H45" s="77"/>
      <c r="I45" s="77"/>
      <c r="J45" s="77"/>
      <c r="K45" s="7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75"/>
      <c r="C46" s="76"/>
      <c r="D46" s="75"/>
      <c r="E46" s="75"/>
      <c r="F46" s="75"/>
      <c r="G46" s="75"/>
      <c r="H46" s="75"/>
      <c r="I46" s="75"/>
      <c r="J46" s="75"/>
      <c r="K46" s="7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77"/>
      <c r="C47" s="78"/>
      <c r="D47" s="77"/>
      <c r="E47" s="77"/>
      <c r="F47" s="77"/>
      <c r="G47" s="77"/>
      <c r="H47" s="77"/>
      <c r="I47" s="77"/>
      <c r="J47" s="77"/>
      <c r="K47" s="7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75"/>
      <c r="C48" s="76"/>
      <c r="D48" s="75"/>
      <c r="E48" s="75"/>
      <c r="F48" s="75"/>
      <c r="G48" s="75"/>
      <c r="H48" s="75"/>
      <c r="I48" s="75"/>
      <c r="J48" s="75"/>
      <c r="K48" s="7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77"/>
      <c r="C49" s="78"/>
      <c r="D49" s="77"/>
      <c r="E49" s="77"/>
      <c r="F49" s="77"/>
      <c r="G49" s="77"/>
      <c r="H49" s="77"/>
      <c r="I49" s="77"/>
      <c r="J49" s="77"/>
      <c r="K49" s="7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75"/>
      <c r="C50" s="76"/>
      <c r="D50" s="75"/>
      <c r="E50" s="75"/>
      <c r="F50" s="75"/>
      <c r="G50" s="75"/>
      <c r="H50" s="75"/>
      <c r="I50" s="75"/>
      <c r="J50" s="75"/>
      <c r="K50" s="7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77"/>
      <c r="C51" s="78"/>
      <c r="D51" s="77"/>
      <c r="E51" s="77"/>
      <c r="F51" s="77"/>
      <c r="G51" s="77"/>
      <c r="H51" s="77"/>
      <c r="I51" s="77"/>
      <c r="J51" s="77"/>
      <c r="K51" s="7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75"/>
      <c r="C52" s="76"/>
      <c r="D52" s="75"/>
      <c r="E52" s="75"/>
      <c r="F52" s="75"/>
      <c r="G52" s="75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77"/>
      <c r="C53" s="78"/>
      <c r="D53" s="77"/>
      <c r="E53" s="77"/>
      <c r="F53" s="77"/>
      <c r="G53" s="77"/>
      <c r="H53" s="77"/>
      <c r="I53" s="77"/>
      <c r="J53" s="77"/>
      <c r="K53" s="7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75"/>
      <c r="C54" s="76"/>
      <c r="D54" s="75"/>
      <c r="E54" s="75"/>
      <c r="F54" s="75"/>
      <c r="G54" s="75"/>
      <c r="H54" s="75"/>
      <c r="I54" s="75"/>
      <c r="J54" s="75"/>
      <c r="K54" s="7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77"/>
      <c r="C55" s="78"/>
      <c r="D55" s="77"/>
      <c r="E55" s="77"/>
      <c r="F55" s="77"/>
      <c r="G55" s="77"/>
      <c r="H55" s="77"/>
      <c r="I55" s="77"/>
      <c r="J55" s="77"/>
      <c r="K55" s="7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75"/>
      <c r="C56" s="76"/>
      <c r="D56" s="75"/>
      <c r="E56" s="75"/>
      <c r="F56" s="75"/>
      <c r="G56" s="75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77"/>
      <c r="C57" s="78"/>
      <c r="D57" s="77"/>
      <c r="E57" s="77"/>
      <c r="F57" s="77"/>
      <c r="G57" s="77"/>
      <c r="H57" s="77"/>
      <c r="I57" s="77"/>
      <c r="J57" s="77"/>
      <c r="K57" s="7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75"/>
      <c r="C58" s="76"/>
      <c r="D58" s="75"/>
      <c r="E58" s="75"/>
      <c r="F58" s="75"/>
      <c r="G58" s="75"/>
      <c r="H58" s="75"/>
      <c r="I58" s="75"/>
      <c r="J58" s="75"/>
      <c r="K58" s="7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77"/>
      <c r="C59" s="78"/>
      <c r="D59" s="77"/>
      <c r="E59" s="77"/>
      <c r="F59" s="77"/>
      <c r="G59" s="77"/>
      <c r="H59" s="77"/>
      <c r="I59" s="77"/>
      <c r="J59" s="77"/>
      <c r="K59" s="7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75"/>
      <c r="C60" s="76"/>
      <c r="D60" s="75"/>
      <c r="E60" s="75"/>
      <c r="F60" s="75"/>
      <c r="G60" s="75"/>
      <c r="H60" s="75"/>
      <c r="I60" s="75"/>
      <c r="J60" s="75"/>
      <c r="K60" s="7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77"/>
      <c r="C61" s="78"/>
      <c r="D61" s="77"/>
      <c r="E61" s="77"/>
      <c r="F61" s="77"/>
      <c r="G61" s="77"/>
      <c r="H61" s="77"/>
      <c r="I61" s="77"/>
      <c r="J61" s="77"/>
      <c r="K61" s="7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75"/>
      <c r="C62" s="76"/>
      <c r="D62" s="75"/>
      <c r="E62" s="75"/>
      <c r="F62" s="75"/>
      <c r="G62" s="75"/>
      <c r="H62" s="75"/>
      <c r="I62" s="75"/>
      <c r="J62" s="75"/>
      <c r="K62" s="7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77"/>
      <c r="C63" s="78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75"/>
      <c r="C64" s="76"/>
      <c r="D64" s="75"/>
      <c r="E64" s="75"/>
      <c r="F64" s="75"/>
      <c r="G64" s="75"/>
      <c r="H64" s="75"/>
      <c r="I64" s="75"/>
      <c r="J64" s="75"/>
      <c r="K64" s="7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77"/>
      <c r="C65" s="78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75"/>
      <c r="C66" s="76"/>
      <c r="D66" s="75"/>
      <c r="E66" s="75"/>
      <c r="F66" s="75"/>
      <c r="G66" s="75"/>
      <c r="H66" s="75"/>
      <c r="I66" s="75"/>
      <c r="J66" s="75"/>
      <c r="K66" s="7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77"/>
      <c r="C67" s="78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75"/>
      <c r="C68" s="76"/>
      <c r="D68" s="75"/>
      <c r="E68" s="75"/>
      <c r="F68" s="75"/>
      <c r="G68" s="75"/>
      <c r="H68" s="75"/>
      <c r="I68" s="75"/>
      <c r="J68" s="75"/>
      <c r="K68" s="7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77"/>
      <c r="C69" s="78"/>
      <c r="D69" s="77"/>
      <c r="E69" s="77"/>
      <c r="F69" s="77"/>
      <c r="G69" s="77"/>
      <c r="H69" s="77"/>
      <c r="I69" s="77"/>
      <c r="J69" s="77"/>
      <c r="K69" s="7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75"/>
      <c r="C70" s="76"/>
      <c r="D70" s="75"/>
      <c r="E70" s="75"/>
      <c r="F70" s="75"/>
      <c r="G70" s="75"/>
      <c r="H70" s="75"/>
      <c r="I70" s="75"/>
      <c r="J70" s="75"/>
      <c r="K70" s="7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77"/>
      <c r="C71" s="78"/>
      <c r="D71" s="77"/>
      <c r="E71" s="77"/>
      <c r="F71" s="77"/>
      <c r="G71" s="77"/>
      <c r="H71" s="77"/>
      <c r="I71" s="77"/>
      <c r="J71" s="77"/>
      <c r="K71" s="7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75"/>
      <c r="C72" s="76"/>
      <c r="D72" s="75"/>
      <c r="E72" s="75"/>
      <c r="F72" s="75"/>
      <c r="G72" s="75"/>
      <c r="H72" s="75"/>
      <c r="I72" s="75"/>
      <c r="J72" s="75"/>
      <c r="K72" s="7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77"/>
      <c r="C73" s="78"/>
      <c r="D73" s="77"/>
      <c r="E73" s="77"/>
      <c r="F73" s="77"/>
      <c r="G73" s="77"/>
      <c r="H73" s="77"/>
      <c r="I73" s="77"/>
      <c r="J73" s="77"/>
      <c r="K73" s="7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75"/>
      <c r="C74" s="76"/>
      <c r="D74" s="75"/>
      <c r="E74" s="75"/>
      <c r="F74" s="75"/>
      <c r="G74" s="75"/>
      <c r="H74" s="75"/>
      <c r="I74" s="75"/>
      <c r="J74" s="75"/>
      <c r="K74" s="7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77"/>
      <c r="C75" s="78"/>
      <c r="D75" s="77"/>
      <c r="E75" s="77"/>
      <c r="F75" s="77"/>
      <c r="G75" s="77"/>
      <c r="H75" s="77"/>
      <c r="I75" s="77"/>
      <c r="J75" s="77"/>
      <c r="K75" s="7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75"/>
      <c r="C76" s="76"/>
      <c r="D76" s="75"/>
      <c r="E76" s="75"/>
      <c r="F76" s="75"/>
      <c r="G76" s="75"/>
      <c r="H76" s="75"/>
      <c r="I76" s="75"/>
      <c r="J76" s="75"/>
      <c r="K76" s="7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77"/>
      <c r="C77" s="78"/>
      <c r="D77" s="77"/>
      <c r="E77" s="77"/>
      <c r="F77" s="77"/>
      <c r="G77" s="77"/>
      <c r="H77" s="77"/>
      <c r="I77" s="77"/>
      <c r="J77" s="77"/>
      <c r="K77" s="7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75"/>
      <c r="C78" s="76"/>
      <c r="D78" s="75"/>
      <c r="E78" s="75"/>
      <c r="F78" s="75"/>
      <c r="G78" s="75"/>
      <c r="H78" s="75"/>
      <c r="I78" s="75"/>
      <c r="J78" s="75"/>
      <c r="K78" s="7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77"/>
      <c r="C79" s="78"/>
      <c r="D79" s="77"/>
      <c r="E79" s="77"/>
      <c r="F79" s="77"/>
      <c r="G79" s="77"/>
      <c r="H79" s="77"/>
      <c r="I79" s="77"/>
      <c r="J79" s="77"/>
      <c r="K79" s="7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75"/>
      <c r="C80" s="76"/>
      <c r="D80" s="75"/>
      <c r="E80" s="75"/>
      <c r="F80" s="75"/>
      <c r="G80" s="75"/>
      <c r="H80" s="75"/>
      <c r="I80" s="75"/>
      <c r="J80" s="75"/>
      <c r="K80" s="7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77"/>
      <c r="C81" s="78"/>
      <c r="D81" s="77"/>
      <c r="E81" s="77"/>
      <c r="F81" s="77"/>
      <c r="G81" s="77"/>
      <c r="H81" s="77"/>
      <c r="I81" s="77"/>
      <c r="J81" s="77"/>
      <c r="K81" s="7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75"/>
      <c r="C82" s="76"/>
      <c r="D82" s="75"/>
      <c r="E82" s="75"/>
      <c r="F82" s="75"/>
      <c r="G82" s="75"/>
      <c r="H82" s="75"/>
      <c r="I82" s="75"/>
      <c r="J82" s="75"/>
      <c r="K82" s="7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77"/>
      <c r="C83" s="78"/>
      <c r="D83" s="77"/>
      <c r="E83" s="77"/>
      <c r="F83" s="77"/>
      <c r="G83" s="77"/>
      <c r="H83" s="77"/>
      <c r="I83" s="77"/>
      <c r="J83" s="77"/>
      <c r="K83" s="7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75"/>
      <c r="C84" s="76"/>
      <c r="D84" s="75"/>
      <c r="E84" s="75"/>
      <c r="F84" s="75"/>
      <c r="G84" s="75"/>
      <c r="H84" s="75"/>
      <c r="I84" s="75"/>
      <c r="J84" s="75"/>
      <c r="K84" s="7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77"/>
      <c r="C85" s="78"/>
      <c r="D85" s="77"/>
      <c r="E85" s="77"/>
      <c r="F85" s="77"/>
      <c r="G85" s="77"/>
      <c r="H85" s="77"/>
      <c r="I85" s="77"/>
      <c r="J85" s="77"/>
      <c r="K85" s="7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75"/>
      <c r="C86" s="76"/>
      <c r="D86" s="75"/>
      <c r="E86" s="75"/>
      <c r="F86" s="75"/>
      <c r="G86" s="75"/>
      <c r="H86" s="75"/>
      <c r="I86" s="75"/>
      <c r="J86" s="75"/>
      <c r="K86" s="7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77"/>
      <c r="C87" s="78"/>
      <c r="D87" s="77"/>
      <c r="E87" s="77"/>
      <c r="F87" s="77"/>
      <c r="G87" s="77"/>
      <c r="H87" s="77"/>
      <c r="I87" s="77"/>
      <c r="J87" s="77"/>
      <c r="K87" s="7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75"/>
      <c r="C88" s="76"/>
      <c r="D88" s="75"/>
      <c r="E88" s="75"/>
      <c r="F88" s="75"/>
      <c r="G88" s="75"/>
      <c r="H88" s="75"/>
      <c r="I88" s="75"/>
      <c r="J88" s="75"/>
      <c r="K88" s="7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77"/>
      <c r="C89" s="78"/>
      <c r="D89" s="77"/>
      <c r="E89" s="77"/>
      <c r="F89" s="77"/>
      <c r="G89" s="77"/>
      <c r="H89" s="77"/>
      <c r="I89" s="77"/>
      <c r="J89" s="77"/>
      <c r="K89" s="7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75"/>
      <c r="C90" s="76"/>
      <c r="D90" s="75"/>
      <c r="E90" s="75"/>
      <c r="F90" s="75"/>
      <c r="G90" s="75"/>
      <c r="H90" s="75"/>
      <c r="I90" s="75"/>
      <c r="J90" s="75"/>
      <c r="K90" s="7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77"/>
      <c r="C91" s="78"/>
      <c r="D91" s="77"/>
      <c r="E91" s="77"/>
      <c r="F91" s="77"/>
      <c r="G91" s="77"/>
      <c r="H91" s="77"/>
      <c r="I91" s="77"/>
      <c r="J91" s="77"/>
      <c r="K91" s="7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75"/>
      <c r="C92" s="76"/>
      <c r="D92" s="75"/>
      <c r="E92" s="75"/>
      <c r="F92" s="75"/>
      <c r="G92" s="75"/>
      <c r="H92" s="75"/>
      <c r="I92" s="75"/>
      <c r="J92" s="75"/>
      <c r="K92" s="7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77"/>
      <c r="C93" s="78"/>
      <c r="D93" s="77"/>
      <c r="E93" s="77"/>
      <c r="F93" s="77"/>
      <c r="G93" s="77"/>
      <c r="H93" s="77"/>
      <c r="I93" s="77"/>
      <c r="J93" s="77"/>
      <c r="K93" s="7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75"/>
      <c r="C94" s="76"/>
      <c r="D94" s="75"/>
      <c r="E94" s="75"/>
      <c r="F94" s="75"/>
      <c r="G94" s="75"/>
      <c r="H94" s="75"/>
      <c r="I94" s="75"/>
      <c r="J94" s="75"/>
      <c r="K94" s="7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77"/>
      <c r="C95" s="78"/>
      <c r="D95" s="77"/>
      <c r="E95" s="77"/>
      <c r="F95" s="77"/>
      <c r="G95" s="77"/>
      <c r="H95" s="77"/>
      <c r="I95" s="77"/>
      <c r="J95" s="77"/>
      <c r="K95" s="7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75"/>
      <c r="C96" s="76"/>
      <c r="D96" s="75"/>
      <c r="E96" s="75"/>
      <c r="F96" s="75"/>
      <c r="G96" s="75"/>
      <c r="H96" s="75"/>
      <c r="I96" s="75"/>
      <c r="J96" s="75"/>
      <c r="K96" s="7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77"/>
      <c r="C97" s="78"/>
      <c r="D97" s="77"/>
      <c r="E97" s="77"/>
      <c r="F97" s="77"/>
      <c r="G97" s="77"/>
      <c r="H97" s="77"/>
      <c r="I97" s="77"/>
      <c r="J97" s="77"/>
      <c r="K97" s="7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75"/>
      <c r="C98" s="76"/>
      <c r="D98" s="75"/>
      <c r="E98" s="75"/>
      <c r="F98" s="75"/>
      <c r="G98" s="75"/>
      <c r="H98" s="75"/>
      <c r="I98" s="75"/>
      <c r="J98" s="75"/>
      <c r="K98" s="7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77"/>
      <c r="C99" s="78"/>
      <c r="D99" s="77"/>
      <c r="E99" s="77"/>
      <c r="F99" s="77"/>
      <c r="G99" s="77"/>
      <c r="H99" s="77"/>
      <c r="I99" s="77"/>
      <c r="J99" s="77"/>
      <c r="K99" s="7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75"/>
      <c r="C100" s="76"/>
      <c r="D100" s="75"/>
      <c r="E100" s="75"/>
      <c r="F100" s="75"/>
      <c r="G100" s="75"/>
      <c r="H100" s="75"/>
      <c r="I100" s="75"/>
      <c r="J100" s="75"/>
      <c r="K100" s="7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77"/>
      <c r="C101" s="78"/>
      <c r="D101" s="77"/>
      <c r="E101" s="77"/>
      <c r="F101" s="77"/>
      <c r="G101" s="77"/>
      <c r="H101" s="77"/>
      <c r="I101" s="77"/>
      <c r="J101" s="77"/>
      <c r="K101" s="7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75"/>
      <c r="C102" s="76"/>
      <c r="D102" s="75"/>
      <c r="E102" s="75"/>
      <c r="F102" s="75"/>
      <c r="G102" s="75"/>
      <c r="H102" s="75"/>
      <c r="I102" s="75"/>
      <c r="J102" s="75"/>
      <c r="K102" s="7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77"/>
      <c r="C103" s="78"/>
      <c r="D103" s="77"/>
      <c r="E103" s="77"/>
      <c r="F103" s="77"/>
      <c r="G103" s="77"/>
      <c r="H103" s="77"/>
      <c r="I103" s="77"/>
      <c r="J103" s="77"/>
      <c r="K103" s="7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75"/>
      <c r="C104" s="76"/>
      <c r="D104" s="75"/>
      <c r="E104" s="75"/>
      <c r="F104" s="75"/>
      <c r="G104" s="75"/>
      <c r="H104" s="75"/>
      <c r="I104" s="75"/>
      <c r="J104" s="75"/>
      <c r="K104" s="7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77"/>
      <c r="C105" s="78"/>
      <c r="D105" s="77"/>
      <c r="E105" s="77"/>
      <c r="F105" s="77"/>
      <c r="G105" s="77"/>
      <c r="H105" s="77"/>
      <c r="I105" s="77"/>
      <c r="J105" s="77"/>
      <c r="K105" s="7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75"/>
      <c r="C106" s="76"/>
      <c r="D106" s="75"/>
      <c r="E106" s="75"/>
      <c r="F106" s="75"/>
      <c r="G106" s="75"/>
      <c r="H106" s="75"/>
      <c r="I106" s="75"/>
      <c r="J106" s="75"/>
      <c r="K106" s="7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77"/>
      <c r="C107" s="78"/>
      <c r="D107" s="77"/>
      <c r="E107" s="77"/>
      <c r="F107" s="77"/>
      <c r="G107" s="77"/>
      <c r="H107" s="77"/>
      <c r="I107" s="77"/>
      <c r="J107" s="77"/>
      <c r="K107" s="7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75"/>
      <c r="C108" s="76"/>
      <c r="D108" s="75"/>
      <c r="E108" s="75"/>
      <c r="F108" s="75"/>
      <c r="G108" s="75"/>
      <c r="H108" s="75"/>
      <c r="I108" s="75"/>
      <c r="J108" s="75"/>
      <c r="K108" s="7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77"/>
      <c r="C109" s="78"/>
      <c r="D109" s="77"/>
      <c r="E109" s="77"/>
      <c r="F109" s="77"/>
      <c r="G109" s="77"/>
      <c r="H109" s="77"/>
      <c r="I109" s="77"/>
      <c r="J109" s="77"/>
      <c r="K109" s="7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75"/>
      <c r="C110" s="76"/>
      <c r="D110" s="75"/>
      <c r="E110" s="75"/>
      <c r="F110" s="75"/>
      <c r="G110" s="75"/>
      <c r="H110" s="75"/>
      <c r="I110" s="75"/>
      <c r="J110" s="75"/>
      <c r="K110" s="7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77"/>
      <c r="C111" s="78"/>
      <c r="D111" s="77"/>
      <c r="E111" s="77"/>
      <c r="F111" s="77"/>
      <c r="G111" s="77"/>
      <c r="H111" s="77"/>
      <c r="I111" s="77"/>
      <c r="J111" s="77"/>
      <c r="K111" s="7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75"/>
      <c r="C112" s="76"/>
      <c r="D112" s="75"/>
      <c r="E112" s="75"/>
      <c r="F112" s="75"/>
      <c r="G112" s="75"/>
      <c r="H112" s="75"/>
      <c r="I112" s="75"/>
      <c r="J112" s="75"/>
      <c r="K112" s="7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77"/>
      <c r="C113" s="78"/>
      <c r="D113" s="77"/>
      <c r="E113" s="77"/>
      <c r="F113" s="77"/>
      <c r="G113" s="77"/>
      <c r="H113" s="77"/>
      <c r="I113" s="77"/>
      <c r="J113" s="77"/>
      <c r="K113" s="7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75"/>
      <c r="C114" s="76"/>
      <c r="D114" s="75"/>
      <c r="E114" s="75"/>
      <c r="F114" s="75"/>
      <c r="G114" s="75"/>
      <c r="H114" s="75"/>
      <c r="I114" s="75"/>
      <c r="J114" s="75"/>
      <c r="K114" s="7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77"/>
      <c r="C115" s="78"/>
      <c r="D115" s="77"/>
      <c r="E115" s="77"/>
      <c r="F115" s="77"/>
      <c r="G115" s="77"/>
      <c r="H115" s="77"/>
      <c r="I115" s="77"/>
      <c r="J115" s="77"/>
      <c r="K115" s="7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75"/>
      <c r="C116" s="76"/>
      <c r="D116" s="75"/>
      <c r="E116" s="75"/>
      <c r="F116" s="75"/>
      <c r="G116" s="75"/>
      <c r="H116" s="75"/>
      <c r="I116" s="75"/>
      <c r="J116" s="75"/>
      <c r="K116" s="7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77"/>
      <c r="C117" s="78"/>
      <c r="D117" s="77"/>
      <c r="E117" s="77"/>
      <c r="F117" s="77"/>
      <c r="G117" s="77"/>
      <c r="H117" s="77"/>
      <c r="I117" s="77"/>
      <c r="J117" s="77"/>
      <c r="K117" s="7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75"/>
      <c r="C118" s="76"/>
      <c r="D118" s="75"/>
      <c r="E118" s="75"/>
      <c r="F118" s="75"/>
      <c r="G118" s="75"/>
      <c r="H118" s="75"/>
      <c r="I118" s="75"/>
      <c r="J118" s="75"/>
      <c r="K118" s="7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77"/>
      <c r="C119" s="78"/>
      <c r="D119" s="77"/>
      <c r="E119" s="77"/>
      <c r="F119" s="77"/>
      <c r="G119" s="77"/>
      <c r="H119" s="77"/>
      <c r="I119" s="77"/>
      <c r="J119" s="77"/>
      <c r="K119" s="7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75"/>
      <c r="C120" s="76"/>
      <c r="D120" s="75"/>
      <c r="E120" s="75"/>
      <c r="F120" s="75"/>
      <c r="G120" s="75"/>
      <c r="H120" s="75"/>
      <c r="I120" s="75"/>
      <c r="J120" s="75"/>
      <c r="K120" s="7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77"/>
      <c r="C121" s="78"/>
      <c r="D121" s="77"/>
      <c r="E121" s="77"/>
      <c r="F121" s="77"/>
      <c r="G121" s="77"/>
      <c r="H121" s="77"/>
      <c r="I121" s="77"/>
      <c r="J121" s="77"/>
      <c r="K121" s="7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75"/>
      <c r="C122" s="76"/>
      <c r="D122" s="75"/>
      <c r="E122" s="75"/>
      <c r="F122" s="75"/>
      <c r="G122" s="75"/>
      <c r="H122" s="75"/>
      <c r="I122" s="75"/>
      <c r="J122" s="75"/>
      <c r="K122" s="7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77"/>
      <c r="C123" s="78"/>
      <c r="D123" s="77"/>
      <c r="E123" s="77"/>
      <c r="F123" s="77"/>
      <c r="G123" s="77"/>
      <c r="H123" s="77"/>
      <c r="I123" s="77"/>
      <c r="J123" s="77"/>
      <c r="K123" s="7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75"/>
      <c r="C124" s="76"/>
      <c r="D124" s="75"/>
      <c r="E124" s="75"/>
      <c r="F124" s="75"/>
      <c r="G124" s="75"/>
      <c r="H124" s="75"/>
      <c r="I124" s="75"/>
      <c r="J124" s="75"/>
      <c r="K124" s="7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77"/>
      <c r="C125" s="78"/>
      <c r="D125" s="77"/>
      <c r="E125" s="77"/>
      <c r="F125" s="77"/>
      <c r="G125" s="77"/>
      <c r="H125" s="77"/>
      <c r="I125" s="77"/>
      <c r="J125" s="77"/>
      <c r="K125" s="7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75"/>
      <c r="C126" s="76"/>
      <c r="D126" s="75"/>
      <c r="E126" s="75"/>
      <c r="F126" s="75"/>
      <c r="G126" s="75"/>
      <c r="H126" s="75"/>
      <c r="I126" s="75"/>
      <c r="J126" s="75"/>
      <c r="K126" s="7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77"/>
      <c r="C127" s="78"/>
      <c r="D127" s="77"/>
      <c r="E127" s="77"/>
      <c r="F127" s="77"/>
      <c r="G127" s="77"/>
      <c r="H127" s="77"/>
      <c r="I127" s="77"/>
      <c r="J127" s="77"/>
      <c r="K127" s="7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75"/>
      <c r="C128" s="76"/>
      <c r="D128" s="75"/>
      <c r="E128" s="75"/>
      <c r="F128" s="75"/>
      <c r="G128" s="75"/>
      <c r="H128" s="75"/>
      <c r="I128" s="75"/>
      <c r="J128" s="75"/>
      <c r="K128" s="7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77"/>
      <c r="C129" s="78"/>
      <c r="D129" s="77"/>
      <c r="E129" s="77"/>
      <c r="F129" s="77"/>
      <c r="G129" s="77"/>
      <c r="H129" s="77"/>
      <c r="I129" s="77"/>
      <c r="J129" s="77"/>
      <c r="K129" s="7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75"/>
      <c r="C130" s="76"/>
      <c r="D130" s="75"/>
      <c r="E130" s="75"/>
      <c r="F130" s="75"/>
      <c r="G130" s="75"/>
      <c r="H130" s="75"/>
      <c r="I130" s="75"/>
      <c r="J130" s="75"/>
      <c r="K130" s="7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77"/>
      <c r="C131" s="78"/>
      <c r="D131" s="77"/>
      <c r="E131" s="77"/>
      <c r="F131" s="77"/>
      <c r="G131" s="77"/>
      <c r="H131" s="77"/>
      <c r="I131" s="77"/>
      <c r="J131" s="77"/>
      <c r="K131" s="7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75"/>
      <c r="C132" s="76"/>
      <c r="D132" s="75"/>
      <c r="E132" s="75"/>
      <c r="F132" s="75"/>
      <c r="G132" s="75"/>
      <c r="H132" s="75"/>
      <c r="I132" s="75"/>
      <c r="J132" s="75"/>
      <c r="K132" s="7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77"/>
      <c r="C133" s="78"/>
      <c r="D133" s="77"/>
      <c r="E133" s="77"/>
      <c r="F133" s="77"/>
      <c r="G133" s="77"/>
      <c r="H133" s="77"/>
      <c r="I133" s="77"/>
      <c r="J133" s="77"/>
      <c r="K133" s="7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75"/>
      <c r="C134" s="76"/>
      <c r="D134" s="75"/>
      <c r="E134" s="75"/>
      <c r="F134" s="75"/>
      <c r="G134" s="75"/>
      <c r="H134" s="75"/>
      <c r="I134" s="75"/>
      <c r="J134" s="75"/>
      <c r="K134" s="7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77"/>
      <c r="C135" s="78"/>
      <c r="D135" s="77"/>
      <c r="E135" s="77"/>
      <c r="F135" s="77"/>
      <c r="G135" s="77"/>
      <c r="H135" s="77"/>
      <c r="I135" s="77"/>
      <c r="J135" s="77"/>
      <c r="K135" s="7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75"/>
      <c r="C136" s="76"/>
      <c r="D136" s="75"/>
      <c r="E136" s="75"/>
      <c r="F136" s="75"/>
      <c r="G136" s="75"/>
      <c r="H136" s="75"/>
      <c r="I136" s="75"/>
      <c r="J136" s="75"/>
      <c r="K136" s="7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77"/>
      <c r="C137" s="78"/>
      <c r="D137" s="77"/>
      <c r="E137" s="77"/>
      <c r="F137" s="77"/>
      <c r="G137" s="77"/>
      <c r="H137" s="77"/>
      <c r="I137" s="77"/>
      <c r="J137" s="77"/>
      <c r="K137" s="7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75"/>
      <c r="C138" s="76"/>
      <c r="D138" s="75"/>
      <c r="E138" s="75"/>
      <c r="F138" s="75"/>
      <c r="G138" s="75"/>
      <c r="H138" s="75"/>
      <c r="I138" s="75"/>
      <c r="J138" s="75"/>
      <c r="K138" s="7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77"/>
      <c r="C139" s="78"/>
      <c r="D139" s="77"/>
      <c r="E139" s="77"/>
      <c r="F139" s="77"/>
      <c r="G139" s="77"/>
      <c r="H139" s="77"/>
      <c r="I139" s="77"/>
      <c r="J139" s="77"/>
      <c r="K139" s="7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75"/>
      <c r="C140" s="76"/>
      <c r="D140" s="75"/>
      <c r="E140" s="75"/>
      <c r="F140" s="75"/>
      <c r="G140" s="75"/>
      <c r="H140" s="75"/>
      <c r="I140" s="75"/>
      <c r="J140" s="75"/>
      <c r="K140" s="7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77"/>
      <c r="C141" s="78"/>
      <c r="D141" s="77"/>
      <c r="E141" s="77"/>
      <c r="F141" s="77"/>
      <c r="G141" s="77"/>
      <c r="H141" s="77"/>
      <c r="I141" s="77"/>
      <c r="J141" s="77"/>
      <c r="K141" s="7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75"/>
      <c r="C142" s="76"/>
      <c r="D142" s="75"/>
      <c r="E142" s="75"/>
      <c r="F142" s="75"/>
      <c r="G142" s="75"/>
      <c r="H142" s="75"/>
      <c r="I142" s="75"/>
      <c r="J142" s="75"/>
      <c r="K142" s="7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77"/>
      <c r="C143" s="78"/>
      <c r="D143" s="77"/>
      <c r="E143" s="77"/>
      <c r="F143" s="77"/>
      <c r="G143" s="77"/>
      <c r="H143" s="77"/>
      <c r="I143" s="77"/>
      <c r="J143" s="77"/>
      <c r="K143" s="7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</sheetData>
  <autoFilter ref="$B$14:$K$143"/>
  <mergeCells count="3">
    <mergeCell ref="B2:K3"/>
    <mergeCell ref="B5:C6"/>
    <mergeCell ref="B7:C11"/>
  </mergeCells>
  <dataValidations>
    <dataValidation type="list" allowBlank="1" showErrorMessage="1" sqref="I15:I143">
      <formula1>"Tata,Will,Chel"</formula1>
    </dataValidation>
    <dataValidation type="list" allowBlank="1" showErrorMessage="1" sqref="G15:G143">
      <formula1>"1x na semana,2x na semana,3x na semana,4x na semana,5x na semana"</formula1>
    </dataValidation>
    <dataValidation type="list" allowBlank="1" showErrorMessage="1" sqref="E15:E143">
      <formula1>"Aprovado,Aprovado com restrição,Nova avaliação,Reprovado"</formula1>
    </dataValidation>
    <dataValidation type="list" allowBlank="1" showErrorMessage="1" sqref="H15:H143">
      <formula1>"Sim,Não, reprovado,Não, dono desistiu"</formula1>
    </dataValidation>
    <dataValidation type="list" allowBlank="1" showErrorMessage="1" sqref="F15:F143">
      <formula1>"Mensal,Trimestral,Semestral,Anual"</formula1>
    </dataValidation>
    <dataValidation type="list" allowBlank="1" showErrorMessage="1" sqref="J15:J143">
      <formula1>" APROVADO,APROVADO COM RESTRIÇÕES,NOVA AVALIAÇÃO,REPROVAÇÃO"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8.0"/>
    <col customWidth="1" min="3" max="3" width="20.63"/>
    <col customWidth="1" min="4" max="4" width="17.5"/>
    <col customWidth="1" min="5" max="5" width="4.13"/>
    <col customWidth="1" min="6" max="6" width="53.25"/>
    <col customWidth="1" min="7" max="7" width="9.0"/>
    <col customWidth="1" min="8" max="8" width="10.88"/>
    <col customWidth="1" min="9" max="9" width="29.75"/>
  </cols>
  <sheetData>
    <row r="1">
      <c r="A1" s="143" t="s">
        <v>263</v>
      </c>
      <c r="B1" s="144"/>
      <c r="C1" s="145" t="s">
        <v>264</v>
      </c>
      <c r="D1" s="145" t="s">
        <v>265</v>
      </c>
      <c r="E1" s="144"/>
      <c r="F1" s="145" t="s">
        <v>266</v>
      </c>
      <c r="G1" s="145" t="s">
        <v>267</v>
      </c>
      <c r="H1" s="145" t="s">
        <v>268</v>
      </c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143" t="s">
        <v>269</v>
      </c>
      <c r="B2" s="144"/>
      <c r="C2" s="143" t="s">
        <v>270</v>
      </c>
      <c r="D2" s="143" t="s">
        <v>271</v>
      </c>
      <c r="E2" s="144"/>
      <c r="F2" s="143" t="s">
        <v>272</v>
      </c>
      <c r="G2" s="143" t="s">
        <v>273</v>
      </c>
      <c r="H2" s="143" t="s">
        <v>274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143" t="s">
        <v>275</v>
      </c>
      <c r="B3" s="144"/>
      <c r="C3" s="143" t="s">
        <v>276</v>
      </c>
      <c r="D3" s="143" t="s">
        <v>277</v>
      </c>
      <c r="E3" s="144"/>
      <c r="F3" s="143" t="s">
        <v>278</v>
      </c>
      <c r="G3" s="143">
        <v>31.0</v>
      </c>
      <c r="H3" s="143" t="s">
        <v>279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143" t="s">
        <v>280</v>
      </c>
      <c r="B4" s="144"/>
      <c r="C4" s="143" t="s">
        <v>281</v>
      </c>
      <c r="D4" s="143" t="s">
        <v>282</v>
      </c>
      <c r="E4" s="144"/>
      <c r="F4" s="143" t="s">
        <v>283</v>
      </c>
      <c r="G4" s="143">
        <v>34.0</v>
      </c>
      <c r="H4" s="143" t="s">
        <v>279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43" t="s">
        <v>284</v>
      </c>
      <c r="B5" s="144"/>
      <c r="C5" s="143" t="s">
        <v>285</v>
      </c>
      <c r="D5" s="143" t="s">
        <v>286</v>
      </c>
      <c r="E5" s="144"/>
      <c r="F5" s="143" t="s">
        <v>287</v>
      </c>
      <c r="G5" s="143">
        <v>6.0</v>
      </c>
      <c r="H5" s="143" t="s">
        <v>288</v>
      </c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144"/>
      <c r="B6" s="144"/>
      <c r="C6" s="143" t="s">
        <v>289</v>
      </c>
      <c r="D6" s="143" t="s">
        <v>283</v>
      </c>
      <c r="E6" s="144"/>
      <c r="F6" s="143" t="s">
        <v>291</v>
      </c>
      <c r="G6" s="143">
        <v>35.0</v>
      </c>
      <c r="H6" s="143" t="s">
        <v>279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C7" s="144"/>
      <c r="D7" s="144"/>
      <c r="E7" s="144"/>
      <c r="F7" s="143" t="s">
        <v>292</v>
      </c>
      <c r="G7" s="143">
        <v>67.0</v>
      </c>
      <c r="H7" s="143" t="s">
        <v>293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145" t="s">
        <v>294</v>
      </c>
      <c r="B9" s="145" t="s">
        <v>295</v>
      </c>
      <c r="C9" s="145" t="s">
        <v>296</v>
      </c>
      <c r="D9" s="144"/>
      <c r="E9" s="144"/>
      <c r="F9" s="145" t="s">
        <v>297</v>
      </c>
      <c r="G9" s="145" t="s">
        <v>298</v>
      </c>
      <c r="H9" s="144"/>
      <c r="I9" s="146" t="s">
        <v>299</v>
      </c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143">
        <v>4.2</v>
      </c>
      <c r="B10" s="143" t="s">
        <v>300</v>
      </c>
      <c r="C10" s="143" t="s">
        <v>301</v>
      </c>
      <c r="D10" s="144"/>
      <c r="E10" s="144"/>
      <c r="F10" s="143" t="s">
        <v>302</v>
      </c>
      <c r="G10" s="143">
        <v>1.0</v>
      </c>
      <c r="H10" s="144"/>
      <c r="I10" s="147" t="s">
        <v>303</v>
      </c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43">
        <v>3.4</v>
      </c>
      <c r="B11" s="143" t="s">
        <v>305</v>
      </c>
      <c r="C11" s="143" t="s">
        <v>306</v>
      </c>
      <c r="D11" s="144"/>
      <c r="E11" s="144"/>
      <c r="F11" s="143" t="s">
        <v>308</v>
      </c>
      <c r="G11" s="143">
        <v>2.0</v>
      </c>
      <c r="H11" s="144"/>
      <c r="I11" s="147" t="s">
        <v>309</v>
      </c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143">
        <v>2.6</v>
      </c>
      <c r="B12" s="143" t="s">
        <v>305</v>
      </c>
      <c r="C12" s="143" t="s">
        <v>311</v>
      </c>
      <c r="D12" s="144"/>
      <c r="E12" s="144"/>
      <c r="F12" s="143" t="s">
        <v>312</v>
      </c>
      <c r="G12" s="143">
        <v>3.0</v>
      </c>
      <c r="H12" s="144"/>
      <c r="I12" s="147" t="s">
        <v>313</v>
      </c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143">
        <v>1.8</v>
      </c>
      <c r="B13" s="143" t="s">
        <v>314</v>
      </c>
      <c r="C13" s="143" t="s">
        <v>315</v>
      </c>
      <c r="D13" s="144"/>
      <c r="E13" s="144"/>
      <c r="F13" s="143" t="s">
        <v>316</v>
      </c>
      <c r="G13" s="143">
        <v>4.0</v>
      </c>
      <c r="H13" s="144"/>
      <c r="I13" s="147" t="s">
        <v>317</v>
      </c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D14" s="144"/>
      <c r="E14" s="144"/>
      <c r="F14" s="143" t="s">
        <v>318</v>
      </c>
      <c r="G14" s="143">
        <v>5.0</v>
      </c>
      <c r="H14" s="144"/>
      <c r="I14" s="147" t="s">
        <v>319</v>
      </c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D15" s="144"/>
      <c r="E15" s="144"/>
      <c r="F15" s="144"/>
      <c r="G15" s="144"/>
      <c r="H15" s="144"/>
      <c r="I15" s="147" t="s">
        <v>320</v>
      </c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D16" s="144"/>
      <c r="E16" s="144"/>
      <c r="F16" s="144"/>
      <c r="G16" s="144"/>
      <c r="H16" s="144"/>
      <c r="I16" s="147" t="s">
        <v>321</v>
      </c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D17" s="144"/>
      <c r="E17" s="144"/>
      <c r="F17" s="144"/>
      <c r="G17" s="144"/>
      <c r="H17" s="144"/>
      <c r="I17" s="147" t="s">
        <v>322</v>
      </c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D18" s="144"/>
      <c r="E18" s="144"/>
      <c r="F18" s="144"/>
      <c r="G18" s="144"/>
      <c r="H18" s="144"/>
      <c r="I18" s="147" t="s">
        <v>323</v>
      </c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D19" s="144"/>
      <c r="E19" s="144"/>
      <c r="F19" s="144"/>
      <c r="G19" s="144"/>
      <c r="H19" s="144"/>
      <c r="I19" s="147" t="s">
        <v>324</v>
      </c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D20" s="144"/>
      <c r="E20" s="144"/>
      <c r="F20" s="144"/>
      <c r="G20" s="144"/>
      <c r="H20" s="144"/>
      <c r="I20" s="147" t="s">
        <v>79</v>
      </c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7" t="s">
        <v>325</v>
      </c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D22" s="144"/>
      <c r="E22" s="144"/>
      <c r="F22" s="144"/>
      <c r="G22" s="144"/>
      <c r="H22" s="144"/>
      <c r="I22" s="147" t="s">
        <v>326</v>
      </c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C28" s="145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</sheetData>
  <drawing r:id="rId1"/>
</worksheet>
</file>